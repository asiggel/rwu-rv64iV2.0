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egende" sheetId="1" state="visible" r:id="rId3"/>
    <sheet name="AMAT_Szenarien" sheetId="2" state="visible" r:id="rId4"/>
    <sheet name="Takt_Matrix" sheetId="3" state="visible" r:id="rId5"/>
    <sheet name="CPI_Analy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<sst xmlns="http://schemas.openxmlformats.org/spreadsheetml/2006/main" count="769" uniqueCount="369">
  <si>
    <t xml:space="preserve">RWU-RV64I  —  Cache-Speichersystem  (Hennessy-Patterson Analyse)</t>
  </si>
  <si>
    <t xml:space="preserve">Prozess: X-Fab XO035 (350 nm)  |  Architektur: Harvard  |  Konfiguration: I-Cache + D-Cache (je 4-way SA, 4 KB), Scratchpad SRAM</t>
  </si>
  <si>
    <t xml:space="preserve">Eigenschaft</t>
  </si>
  <si>
    <t xml:space="preserve">I-Cache</t>
  </si>
  <si>
    <t xml:space="preserve">D-Cache (Flash-Region)</t>
  </si>
  <si>
    <t xml:space="preserve">D-Cache (Scratchpad-Region)</t>
  </si>
  <si>
    <t xml:space="preserve">Scratchpad SRAM (Bypass)</t>
  </si>
  <si>
    <t xml:space="preserve">Kapazität</t>
  </si>
  <si>
    <t xml:space="preserve">4 KB (param.)</t>
  </si>
  <si>
    <t xml:space="preserve">n/a (bypass)</t>
  </si>
  <si>
    <t xml:space="preserve">TBD (param.)</t>
  </si>
  <si>
    <t xml:space="preserve">Assoziativität</t>
  </si>
  <si>
    <t xml:space="preserve">4-fach set-assoziativ</t>
  </si>
  <si>
    <t xml:space="preserve">—</t>
  </si>
  <si>
    <t xml:space="preserve">direkt adressiert</t>
  </si>
  <si>
    <t xml:space="preserve">Sets / Cacheline</t>
  </si>
  <si>
    <t xml:space="preserve">32 Sets, 32 B</t>
  </si>
  <si>
    <t xml:space="preserve">Ersetzungsstrategie</t>
  </si>
  <si>
    <t xml:space="preserve">Pseudo-LRU (3 Bit/Set)</t>
  </si>
  <si>
    <t xml:space="preserve">Write Policy</t>
  </si>
  <si>
    <t xml:space="preserve">read-only (kein Write)</t>
  </si>
  <si>
    <t xml:space="preserve">read-allocate, no-write-back</t>
  </si>
  <si>
    <t xml:space="preserve">kein Cache (bypass)</t>
  </si>
  <si>
    <t xml:space="preserve">write-through direkt</t>
  </si>
  <si>
    <t xml:space="preserve">Write-Allocate</t>
  </si>
  <si>
    <t xml:space="preserve">nicht anwendbar</t>
  </si>
  <si>
    <t xml:space="preserve">nein  (Flash read-only)</t>
  </si>
  <si>
    <t xml:space="preserve">nein (bypass)</t>
  </si>
  <si>
    <t xml:space="preserve">Dirty Bit</t>
  </si>
  <si>
    <t xml:space="preserve">nein</t>
  </si>
  <si>
    <t xml:space="preserve">nein (eliminiert)</t>
  </si>
  <si>
    <t xml:space="preserve">Hit-Latenz</t>
  </si>
  <si>
    <t xml:space="preserve">1 Systemtakt</t>
  </si>
  <si>
    <t xml:space="preserve">1–2 Systemtakte (bypass)</t>
  </si>
  <si>
    <t xml:space="preserve">1–2 Systemtakte</t>
  </si>
  <si>
    <t xml:space="preserve">Miss-Penalty</t>
  </si>
  <si>
    <t xml:space="preserve">106 × f_sys/f_QSPI Takte</t>
  </si>
  <si>
    <t xml:space="preserve">—  (kein Miss möglich)</t>
  </si>
  <si>
    <t xml:space="preserve">AXI4 Write-Path</t>
  </si>
  <si>
    <t xml:space="preserve">AXI4 Read-Path</t>
  </si>
  <si>
    <t xml:space="preserve">ja  (AR + R Kanal)</t>
  </si>
  <si>
    <t xml:space="preserve">Bus zum Speicher</t>
  </si>
  <si>
    <t xml:space="preserve">AXI4 Burst (ARLEN=3)</t>
  </si>
  <si>
    <t xml:space="preserve">SRAM-Interface (sync.)</t>
  </si>
  <si>
    <t xml:space="preserve">H&amp;P Begriff</t>
  </si>
  <si>
    <t xml:space="preserve">Bedeutung / Formel</t>
  </si>
  <si>
    <t xml:space="preserve">In diesem System</t>
  </si>
  <si>
    <t xml:space="preserve">Hit Time  (t_hit)</t>
  </si>
  <si>
    <t xml:space="preserve">Zugriffszeit bei Cache-Treffer</t>
  </si>
  <si>
    <t xml:space="preserve">1 Systemtakt (I+D)</t>
  </si>
  <si>
    <t xml:space="preserve">Miss Rate  (m)</t>
  </si>
  <si>
    <t xml:space="preserve">Anteil Zugriffe ohne Treffer</t>
  </si>
  <si>
    <t xml:space="preserve">I-Cache: abhängig vom Code-Footprint
D-Cache (Flash): abhängig von .rodata-Zugriffen</t>
  </si>
  <si>
    <t xml:space="preserve">Miss Penalty  (t_miss)</t>
  </si>
  <si>
    <t xml:space="preserve">Mehrzyklen bei Miss bis Daten bereit stehen</t>
  </si>
  <si>
    <t xml:space="preserve">106 × (f_sys / f_QSPI_SCK)  Takte
≡ 4.24 µs bei 25 MHz QSPI (beide Flash-Typen)</t>
  </si>
  <si>
    <t xml:space="preserve">AMAT</t>
  </si>
  <si>
    <t xml:space="preserve">Average Memory Access Time
= t_hit + m × t_miss</t>
  </si>
  <si>
    <t xml:space="preserve">I: 1 + m_I × t_miss
D: 1 + m_D × t_miss  (nur Load-Misses aus Flash)</t>
  </si>
  <si>
    <t xml:space="preserve">Memory Stall CPI</t>
  </si>
  <si>
    <t xml:space="preserve">Taktzyklen/Instr. für Speicherwartezustände
= m_I×t_miss + load_freq×m_D×t_miss</t>
  </si>
  <si>
    <t xml:space="preserve">Store-Misses = 0 (Scratchpad-Bypass, kein Flash-Write)</t>
  </si>
  <si>
    <t xml:space="preserve">CPI_eff</t>
  </si>
  <si>
    <t xml:space="preserve">Effektiver CPI
= CPI_ideal + Memory_Stall_CPI</t>
  </si>
  <si>
    <t xml:space="preserve">CPI_ideal = 1 (No-Pipeline-CPU)</t>
  </si>
  <si>
    <t xml:space="preserve">Write-Through</t>
  </si>
  <si>
    <t xml:space="preserve">Jeder Write sofort in Backing Store</t>
  </si>
  <si>
    <t xml:space="preserve">NICHT verwendet (kein Flash-Write)</t>
  </si>
  <si>
    <t xml:space="preserve">Write-Back</t>
  </si>
  <si>
    <t xml:space="preserve">Write erst bei Eviction in Backing Store</t>
  </si>
  <si>
    <t xml:space="preserve">NICHT verwendet (Flash read-only, Dirty-Bit eliminiert)</t>
  </si>
  <si>
    <t xml:space="preserve">Miss bei Write → Cache-Line laden</t>
  </si>
  <si>
    <t xml:space="preserve">NICHT verwendet (Stores gehen direkt → Scratchpad)</t>
  </si>
  <si>
    <t xml:space="preserve">No-Write-Allocate</t>
  </si>
  <si>
    <t xml:space="preserve">Miss bei Write → direkt in Backing Store</t>
  </si>
  <si>
    <t xml:space="preserve">NICHT relevant (Scratchpad ist nicht Flash)</t>
  </si>
  <si>
    <t xml:space="preserve">Read-Allocate</t>
  </si>
  <si>
    <t xml:space="preserve">Miss bei Load → neue Line in Cache laden</t>
  </si>
  <si>
    <t xml:space="preserve">JA – für I-Cache und D-Cache (Flash-Region)</t>
  </si>
  <si>
    <t xml:space="preserve">Pseudo-LRU (PLRU)</t>
  </si>
  <si>
    <t xml:space="preserve">3-Bit-Approximation des LRU für 4-Wege</t>
  </si>
  <si>
    <t xml:space="preserve">1 PLRU-Feld pro Set (96 Bit Tag-SRAM enthält 3 PLRU-Bits)</t>
  </si>
  <si>
    <t xml:space="preserve">Scratchpad</t>
  </si>
  <si>
    <t xml:space="preserve">Direkt adressierter SRAM (kein Cache)</t>
  </si>
  <si>
    <t xml:space="preserve">Hält Stack, Heap, .data, .bss
D-Cache-Controller bypassed direkt</t>
  </si>
  <si>
    <t xml:space="preserve">Linker-Segment</t>
  </si>
  <si>
    <t xml:space="preserve">Read/Write</t>
  </si>
  <si>
    <t xml:space="preserve">Inhalt</t>
  </si>
  <si>
    <t xml:space="preserve">Speicherort</t>
  </si>
  <si>
    <t xml:space="preserve">.text</t>
  </si>
  <si>
    <t xml:space="preserve">RO</t>
  </si>
  <si>
    <t xml:space="preserve">Programmcode (Instruktionen)</t>
  </si>
  <si>
    <t xml:space="preserve">NOR Flash → I-Cache</t>
  </si>
  <si>
    <t xml:space="preserve">.rodata</t>
  </si>
  <si>
    <t xml:space="preserve">Konstanten, String-Literale</t>
  </si>
  <si>
    <t xml:space="preserve">NOR Flash → D-Cache (Flash-Region)</t>
  </si>
  <si>
    <t xml:space="preserve">.data</t>
  </si>
  <si>
    <t xml:space="preserve">RW</t>
  </si>
  <si>
    <t xml:space="preserve">Initialisierte globale/statische Variablen</t>
  </si>
  <si>
    <t xml:space="preserve">Scratchpad (Kopie von Flash bei Boot)</t>
  </si>
  <si>
    <t xml:space="preserve">.bss</t>
  </si>
  <si>
    <t xml:space="preserve">Uninitial. glob./stat. Var. (Null-Init.)</t>
  </si>
  <si>
    <t xml:space="preserve">Scratchpad (Start-up nullt Region)</t>
  </si>
  <si>
    <t xml:space="preserve">Heap</t>
  </si>
  <si>
    <t xml:space="preserve">Dynamisch alloz. Speicher (malloc/free)</t>
  </si>
  <si>
    <t xml:space="preserve">Scratchpad (wächst ↑ von .bss)</t>
  </si>
  <si>
    <t xml:space="preserve">Stack</t>
  </si>
  <si>
    <t xml:space="preserve">Auto-Variablen, Rücksprungadr., Register-Save</t>
  </si>
  <si>
    <t xml:space="preserve">Scratchpad (wächst ↓ von oben)</t>
  </si>
  <si>
    <t xml:space="preserve">AMAT-Analyse nach Hennessy-Patterson  —  RWU-RV64I Cache-System</t>
  </si>
  <si>
    <t xml:space="preserve">System-Parameter</t>
  </si>
  <si>
    <t xml:space="preserve">t_hit (I-Cache + D-Cache)</t>
  </si>
  <si>
    <t xml:space="preserve">1</t>
  </si>
  <si>
    <t xml:space="preserve">Systemtakt</t>
  </si>
  <si>
    <t xml:space="preserve">Kombinatorisch: Tag-Vergleich + SRAM-Read in 1 Takt</t>
  </si>
  <si>
    <t xml:space="preserve">t_hit (Scratchpad Bypass)</t>
  </si>
  <si>
    <t xml:space="preserve">1–2</t>
  </si>
  <si>
    <t xml:space="preserve">Systemtakte</t>
  </si>
  <si>
    <t xml:space="preserve">D-Cache-Controller → SRAM direkt</t>
  </si>
  <si>
    <t xml:space="preserve">QSPI-Protokoll-Zyklen (tot.)</t>
  </si>
  <si>
    <t xml:space="preserve">106</t>
  </si>
  <si>
    <t xml:space="preserve">QSPI-SCK-Takte</t>
  </si>
  <si>
    <t xml:space="preserve">8 (Opcode)+24 (Adr)+8 (Dummy)+64 (Daten, Quad)+2 (CS#)</t>
  </si>
  <si>
    <t xml:space="preserve">Miss-Penalty  t_miss</t>
  </si>
  <si>
    <t xml:space="preserve">106 × (f_sys / f_QSPI)</t>
  </si>
  <si>
    <t xml:space="preserve">Skalar von Taktver­hältnis, siehe Takt-Matrix</t>
  </si>
  <si>
    <t xml:space="preserve">Beispiel: f_sys=25 MHz, f_QSPI=25 MHz</t>
  </si>
  <si>
    <t xml:space="preserve">≡ 4.24 µs</t>
  </si>
  <si>
    <t xml:space="preserve">Beispiel: f_sys=10 MHz, f_QSPI=25 MHz</t>
  </si>
  <si>
    <t xml:space="preserve"> 42</t>
  </si>
  <si>
    <t xml:space="preserve">≡ 4.24 µs (Spec-Referenzpunkt)</t>
  </si>
  <si>
    <t xml:space="preserve">CPI_ideal  (No-Pipeline)</t>
  </si>
  <si>
    <t xml:space="preserve">Takte/Instr.</t>
  </si>
  <si>
    <t xml:space="preserve">Ein Fetch pro Takt (ohne Speicherstalls)</t>
  </si>
  <si>
    <t xml:space="preserve">Instruction Mix (typisch)</t>
  </si>
  <si>
    <t xml:space="preserve">25 % Load, 10 % Store, 20 % Branch, 45 % ALU</t>
  </si>
  <si>
    <t xml:space="preserve">Store-Miss-Penalty</t>
  </si>
  <si>
    <t xml:space="preserve">0</t>
  </si>
  <si>
    <t xml:space="preserve">Stores → Scratchpad Bypass (kein Flash-Write)</t>
  </si>
  <si>
    <t xml:space="preserve">Hennessy-Patterson Formeln (angewendet auf RWU-RV64I)</t>
  </si>
  <si>
    <t xml:space="preserve">AMAT  =  t_hit  +  m  ×  t_miss</t>
  </si>
  <si>
    <t xml:space="preserve">CPI_eff  =  CPI_ideal  +  I$_stall  +  D$_stall</t>
  </si>
  <si>
    <t xml:space="preserve">I$_stall  =  m_I  ×  t_miss                          [Takte pro Instruktion]</t>
  </si>
  <si>
    <t xml:space="preserve">D$_stall  =  load_freq × m_D × t_miss                [Store-Miss = 0, Scratchpad-Bypass!]</t>
  </si>
  <si>
    <t xml:space="preserve">Memory_Stall_CPI  =  m_I × t_miss  +  0.25 × m_D × t_miss</t>
  </si>
  <si>
    <t xml:space="preserve">Szenario: f_sys=10 MHz, f_QSPI=25 MHz  (Spec-Referenz)  |  t_miss = 42 Systemtakte</t>
  </si>
  <si>
    <t xml:space="preserve">Miss-Rate m</t>
  </si>
  <si>
    <t xml:space="preserve">AMAT_I [Takte]</t>
  </si>
  <si>
    <t xml:space="preserve">AMAT_D [Takte]</t>
  </si>
  <si>
    <t xml:space="preserve">I$_stall/Instr</t>
  </si>
  <si>
    <t xml:space="preserve">D$_stall/Instr</t>
  </si>
  <si>
    <t xml:space="preserve">Mem_Stall_CPI</t>
  </si>
  <si>
    <t xml:space="preserve">IPC_eff</t>
  </si>
  <si>
    <t xml:space="preserve">Speed-Up vs. ideal</t>
  </si>
  <si>
    <t xml:space="preserve">Zeitverlust [%]</t>
  </si>
  <si>
    <t xml:space="preserve">CPI-Diagramm (normiert)</t>
  </si>
  <si>
    <t xml:space="preserve">Klassifikation</t>
  </si>
  <si>
    <t xml:space="preserve">0.1 %</t>
  </si>
  <si>
    <t xml:space="preserve">█</t>
  </si>
  <si>
    <t xml:space="preserve">sehr gut</t>
  </si>
  <si>
    <t xml:space="preserve">0.5 %</t>
  </si>
  <si>
    <t xml:space="preserve">1.0 %</t>
  </si>
  <si>
    <t xml:space="preserve">2.0 %</t>
  </si>
  <si>
    <t xml:space="preserve">gut</t>
  </si>
  <si>
    <t xml:space="preserve">5.0 %</t>
  </si>
  <si>
    <t xml:space="preserve">██</t>
  </si>
  <si>
    <t xml:space="preserve">10.0 %</t>
  </si>
  <si>
    <t xml:space="preserve">█████</t>
  </si>
  <si>
    <t xml:space="preserve">akzeptabel</t>
  </si>
  <si>
    <t xml:space="preserve">15.0 %</t>
  </si>
  <si>
    <t xml:space="preserve">███████</t>
  </si>
  <si>
    <t xml:space="preserve">problematisch</t>
  </si>
  <si>
    <t xml:space="preserve">20.0 %</t>
  </si>
  <si>
    <t xml:space="preserve">██████████</t>
  </si>
  <si>
    <t xml:space="preserve">30.0 %</t>
  </si>
  <si>
    <t xml:space="preserve">███████████████</t>
  </si>
  <si>
    <t xml:space="preserve">kritisch</t>
  </si>
  <si>
    <t xml:space="preserve">50.0 %</t>
  </si>
  <si>
    <t xml:space="preserve">████████████████████+</t>
  </si>
  <si>
    <t xml:space="preserve">Grün ≤ 1 % | Hell-Grün ≤ 5 % | Gelb ≤ 10 % | Orange ≤ 20 % | Rot &gt; 20 %</t>
  </si>
  <si>
    <t xml:space="preserve">Szenario: f_sys=25 MHz, f_QSPI=25 MHz  (Empfehlung: kein PLL)  |  t_miss = 106 Systemtakte</t>
  </si>
  <si>
    <t xml:space="preserve">██████</t>
  </si>
  <si>
    <t xml:space="preserve">█████████████</t>
  </si>
  <si>
    <t xml:space="preserve">███████████████████</t>
  </si>
  <si>
    <t xml:space="preserve">Szenario: f_sys=50 MHz, f_QSPI=25 MHz  (Empfehlung: PLL×2)  |  t_miss = 212 Systemtakte</t>
  </si>
  <si>
    <t xml:space="preserve">Szenario: f_sys=50 MHz, f_QSPI=50 MHz  (aggressiv, div=1)  |  t_miss = 106 Systemtakte</t>
  </si>
  <si>
    <t xml:space="preserve">Takt-Kombinations-Matrix  —  RWU-RV64I  (QSPI / CPU-Core / SoC / Eingangs-Takt)</t>
  </si>
  <si>
    <t xml:space="preserve">Referenz-Flash-Geräte</t>
  </si>
  <si>
    <t xml:space="preserve">Gerät</t>
  </si>
  <si>
    <t xml:space="preserve">Max SCK (Datenblatt)</t>
  </si>
  <si>
    <t xml:space="preserve">Max SCK (Design-Ziel)</t>
  </si>
  <si>
    <t xml:space="preserve">Quad-Read Opcode</t>
  </si>
  <si>
    <t xml:space="preserve">Dummy-Zyklen</t>
  </si>
  <si>
    <t xml:space="preserve">JEDEC-ID</t>
  </si>
  <si>
    <t xml:space="preserve">Anmerkung</t>
  </si>
  <si>
    <t xml:space="preserve">Winbond W25Q128JV</t>
  </si>
  <si>
    <t xml:space="preserve">128 Mbit (16 MB)</t>
  </si>
  <si>
    <t xml:space="preserve">133 MHz</t>
  </si>
  <si>
    <t xml:space="preserve">80 MHz (konservativ, 2.7–3.6 V)</t>
  </si>
  <si>
    <t xml:space="preserve">0x6B (Quad Out, 1-1-4)</t>
  </si>
  <si>
    <t xml:space="preserve">8</t>
  </si>
  <si>
    <t xml:space="preserve">0xEF</t>
  </si>
  <si>
    <t xml:space="preserve">★ Primär-Referenz laut Spec</t>
  </si>
  <si>
    <t xml:space="preserve">Micron MT25QL128</t>
  </si>
  <si>
    <t xml:space="preserve">0x20</t>
  </si>
  <si>
    <t xml:space="preserve">★ Sekundär-Referenz laut Spec</t>
  </si>
  <si>
    <t xml:space="preserve">#</t>
  </si>
  <si>
    <t xml:space="preserve">Quarz f_in
[MHz]</t>
  </si>
  <si>
    <t xml:space="preserve">PLL
(ja/nein)</t>
  </si>
  <si>
    <t xml:space="preserve">PLL-Faktor
N</t>
  </si>
  <si>
    <t xml:space="preserve">f_sys / f_CPU
[MHz]</t>
  </si>
  <si>
    <t xml:space="preserve">QSPI-Takt
Quelle</t>
  </si>
  <si>
    <t xml:space="preserve">QSPI-Divider
(÷)</t>
  </si>
  <si>
    <t xml:space="preserve">f_QSPI_SCK
[MHz]</t>
  </si>
  <si>
    <t xml:space="preserve">t_QSPI-Takt
[ns]</t>
  </si>
  <si>
    <t xml:space="preserve">QSPI-Zyklen
(Protokoll)</t>
  </si>
  <si>
    <t xml:space="preserve">t_miss
[µs]</t>
  </si>
  <si>
    <t xml:space="preserve">Miss-Penalty
[Systemtakte]</t>
  </si>
  <si>
    <t xml:space="preserve">W25Q128JV
(≤80 MHz?)</t>
  </si>
  <si>
    <t xml:space="preserve">MT25QL128
(≤80 MHz?)</t>
  </si>
  <si>
    <t xml:space="preserve">AMAT
@ 1 % Miss</t>
  </si>
  <si>
    <t xml:space="preserve">AMAT
@ 5 % Miss</t>
  </si>
  <si>
    <t xml:space="preserve">AMAT
@ 10 % Miss</t>
  </si>
  <si>
    <t xml:space="preserve">AMAT
@ 20 % Miss</t>
  </si>
  <si>
    <t xml:space="preserve">Timing-Risiko
MISO-Setup</t>
  </si>
  <si>
    <t xml:space="preserve">Empfehlung</t>
  </si>
  <si>
    <t xml:space="preserve">ja</t>
  </si>
  <si>
    <t xml:space="preserve">f_sys / Div.</t>
  </si>
  <si>
    <t xml:space="preserve">20.0</t>
  </si>
  <si>
    <t xml:space="preserve">2.12</t>
  </si>
  <si>
    <t xml:space="preserve">✓</t>
  </si>
  <si>
    <t xml:space="preserve">moderat</t>
  </si>
  <si>
    <t xml:space="preserve">★★ BESTE OPTION
f_sys=50 MHz, SCK=50.0 MHz, t_miss=106 Takte</t>
  </si>
  <si>
    <t xml:space="preserve">40.0</t>
  </si>
  <si>
    <t xml:space="preserve">4.24</t>
  </si>
  <si>
    <t xml:space="preserve">212</t>
  </si>
  <si>
    <t xml:space="preserve">gering</t>
  </si>
  <si>
    <t xml:space="preserve">★★ EMPFOHLEN
f_sys=50 MHz, f_QSPI=25.0 MHz, Timing sicher</t>
  </si>
  <si>
    <t xml:space="preserve">f_in (direkt)</t>
  </si>
  <si>
    <t xml:space="preserve">gering (async. Taktdomäne)</t>
  </si>
  <si>
    <t xml:space="preserve">★★ EMPFOHLEN
f_sys=50 MHz, f_QSPI=25 MHz, Timing sicher</t>
  </si>
  <si>
    <t xml:space="preserve">80.0</t>
  </si>
  <si>
    <t xml:space="preserve">8.48</t>
  </si>
  <si>
    <t xml:space="preserve">424</t>
  </si>
  <si>
    <t xml:space="preserve">100.0</t>
  </si>
  <si>
    <t xml:space="preserve">10.60</t>
  </si>
  <si>
    <t xml:space="preserve">530</t>
  </si>
  <si>
    <t xml:space="preserve">25.0</t>
  </si>
  <si>
    <t xml:space="preserve">2.65</t>
  </si>
  <si>
    <t xml:space="preserve">★ GUT
PLL×4, f_sys=40 MHz, f_QSPI=40.0 MHz</t>
  </si>
  <si>
    <t xml:space="preserve">★ GUT
PLL×2, f_sys=40 MHz, f_QSPI=40.0 MHz</t>
  </si>
  <si>
    <t xml:space="preserve">50.0</t>
  </si>
  <si>
    <t xml:space="preserve">5.30</t>
  </si>
  <si>
    <t xml:space="preserve">★ GUT
kein PLL, f_sys=25 MHz, f_QSPI=25.0 MHz</t>
  </si>
  <si>
    <t xml:space="preserve">160.0</t>
  </si>
  <si>
    <t xml:space="preserve">16.96</t>
  </si>
  <si>
    <t xml:space="preserve">200.0</t>
  </si>
  <si>
    <t xml:space="preserve">21.20</t>
  </si>
  <si>
    <t xml:space="preserve">400.0</t>
  </si>
  <si>
    <t xml:space="preserve">42.40</t>
  </si>
  <si>
    <t xml:space="preserve">Farb-Legende</t>
  </si>
  <si>
    <t xml:space="preserve">★★ BESTE OPTION / EMPFOHLEN  – optimales Verhältnis aus Performance und Timing-Sicherheit</t>
  </si>
  <si>
    <t xml:space="preserve">★ GUT  – geeignet für Referenzdesign</t>
  </si>
  <si>
    <t xml:space="preserve">◎ akzeptabel – funktioniert, aber suboptimale Miss-Penalty oder Performance</t>
  </si>
  <si>
    <t xml:space="preserve">Erhöhtes Timing-Risiko – MISO-Setup muss im Place&amp;Route verifiziert werden</t>
  </si>
  <si>
    <t xml:space="preserve">Nicht empfohlen – außerhalb Flash-Spec oder kritisches Timing</t>
  </si>
  <si>
    <t xml:space="preserve">CPI-Analyse  —  RWU-RV64I Familie  (5 Design-Varianten)</t>
  </si>
  <si>
    <t xml:space="preserve">Grundlage: RTL-Analyse  as_cpux.sv (RV_NoPipeline / RV_NoPipelineCache)  und  cc_cpupipe.sv (RV_PipelineCache)  |  Speicher: X-FAB synchrones SRAM  |  Alle gelben Zellen in Abschnitt 1 sind editierbar</t>
  </si>
  <si>
    <t xml:space="preserve">ABSCHNITT 1  —  Einstellbare Parameter  ( gelbe Zellen editieren → Abschnitt 2 und 3 aktualisieren sich automatisch )</t>
  </si>
  <si>
    <t xml:space="preserve">A  Code-Mix  (typischer RISC-V Instruction-Mix)</t>
  </si>
  <si>
    <t xml:space="preserve">Randbedingung:  f_load + f_store + f_branch + f_alu = 1</t>
  </si>
  <si>
    <t xml:space="preserve">f_load     Anteil Load-Instruktionen</t>
  </si>
  <si>
    <t xml:space="preserve">–</t>
  </si>
  <si>
    <t xml:space="preserve">LB/LH/LW/LD/LBU/LHU  –  typisch 25 % bei embedded RV64I-Code (Harris &amp; Patterson)</t>
  </si>
  <si>
    <t xml:space="preserve">f_store    Anteil Store-Instruktionen</t>
  </si>
  <si>
    <t xml:space="preserve">SB/SH/SW/SD  –  typisch 10 %</t>
  </si>
  <si>
    <t xml:space="preserve">f_branch   Anteil Branch-Instruktionen</t>
  </si>
  <si>
    <t xml:space="preserve">BEQ/BNE/BLT/BGE/BLTU/BGEU + JAL (für Loops)  –  typisch 15 %</t>
  </si>
  <si>
    <t xml:space="preserve">f_alu      Anteil ALU / sonstige  (automatisch)</t>
  </si>
  <si>
    <t xml:space="preserve">=1 − f_load − f_store − f_branch  (ALU R/I-Type, LUI, AUIPC, CSR, JALR ohne Abhängigkeit)</t>
  </si>
  <si>
    <t xml:space="preserve">B  Sprung-Verhalten</t>
  </si>
  <si>
    <t xml:space="preserve">p_taken    Branch taken-Rate</t>
  </si>
  <si>
    <t xml:space="preserve">Anteil tatsächlich ausgeführter Sprünge.  Typisch ≈ 60 % (Schleifen dominieren den Programmfluss).  Bei p_taken = 0 kein Flush-Overhead (alle Sprünge not-taken).</t>
  </si>
  <si>
    <t xml:space="preserve">cyc_branch Branch-Flush-Penalty  [Takte]</t>
  </si>
  <si>
    <t xml:space="preserve">Takte</t>
  </si>
  <si>
    <t xml:space="preserve">Fest durch RTL cc_cpupipe.sv:  flush_s = ex_branch_taken_s  →  IF- und ID-Stufe werden mit NOP überschrieben  →  2 verlorene Stufen.</t>
  </si>
  <si>
    <t xml:space="preserve">C  Speicher-Parameter  (X-FAB synchrones SRAM)</t>
  </si>
  <si>
    <t xml:space="preserve">h_I        I-Cache Hit-Rate</t>
  </si>
  <si>
    <t xml:space="preserve">Trefferrate für Instruction-Fetches.  0.98 = typisch für kleine embedded Loops.  D1 und D4 ignorieren diesen Parameter  (kein Cache → effektiv h_I = 1.0).</t>
  </si>
  <si>
    <t xml:space="preserve">h_D        D-Cache Hit-Rate  (Loads)</t>
  </si>
  <si>
    <t xml:space="preserve">Trefferrate für Data-Loads.  Store-Misses = 0: Stores gehen direkt in den Scratchpad-SRAM (kein Evict).  D1 und D4 ignorieren diesen Parameter.</t>
  </si>
  <si>
    <t xml:space="preserve">m_cyc      Miss-Penalty  [Systemtakte]</t>
  </si>
  <si>
    <t xml:space="preserve">Zyklen für Cache-Refill bei einem Miss.  On-Chip SRAM hinter AXI4 (32B-Zeile, 64-bit-Bus):  ≈ 1(AR) + 1(SRAM-Adr.) + 4(R-Beats à 8 Byte) = 6 Takte.  Flash-QSPI: 106×(f_sys/f_QSPI_SCK)  →  siehe Sheet 'AMAT_Szenarien'.</t>
  </si>
  <si>
    <t xml:space="preserve">D  RAW Data-Hazards  –  OHNE Forwarding  (gilt für D3, D4)</t>
  </si>
  <si>
    <t xml:space="preserve">cc_cpupipe.sv besitzt kein Forwarding-Netz.  Jede RAW-Abhängigkeit erzwingt Stall-Zyklen, bis der Produzent die WB-Stufe abgeschlossen hat.</t>
  </si>
  <si>
    <t xml:space="preserve">p_raw1     RAW 1-back Häufigkeit</t>
  </si>
  <si>
    <t xml:space="preserve">Instr. N liest ein Register, das Instr. N−1 schreibt  →  3 Stall-Zyklen.  Produzent ist in EX, Konsument bleibt 3 Takte in ID stehen (EX→MEM→WB).  Typisch ≈ 25 % (Harris &amp; Patterson, Kap. 7).</t>
  </si>
  <si>
    <t xml:space="preserve">p_raw2     RAW 2-back Häufigkeit</t>
  </si>
  <si>
    <t xml:space="preserve">Instr. N liest ein Register, das Instr. N−2 schreibt  →  2 Stall-Zyklen.  Typisch ≈ 8 %.</t>
  </si>
  <si>
    <t xml:space="preserve">p_raw3     RAW 3-back Häufigkeit</t>
  </si>
  <si>
    <t xml:space="preserve">Instr. N liest ein Register, das Instr. N−3 schreibt  →  1 Stall-Zyklus.  Typisch ≈ 4 %.</t>
  </si>
  <si>
    <t xml:space="preserve">E  RAW Data-Hazards  –  MIT Forwarding  (gilt nur für D5, hypothetisch)</t>
  </si>
  <si>
    <t xml:space="preserve">Mit vollständigem EX→EX und MEM→EX Forwarding-Netz.  Einziger verbleibender Stall: Load-Use-Hazard  (Load-Ergebnis erst nach MEM verfügbar, Konsument braucht es sofort in EX  →  1 Stall-Zyklus).</t>
  </si>
  <si>
    <t xml:space="preserve">p_lu       Load-Use Häufigkeit</t>
  </si>
  <si>
    <t xml:space="preserve">Anteil aller Instruktionen, die ein Load-Ergebnis unmittelbar (1-back) lesen.  Mit Forwarding der einzige verbleibende 1-Stall-Fall.  Typisch ≈ 5 % (≈ 20 % aller Loads haben eine sofortige Abhängigkeit).</t>
  </si>
  <si>
    <t xml:space="preserve">ABSCHNITT 2  —  Abgeleitete Zwischengrößen  (Excel-Formeln — aktualisieren sich automatisch bei Parameteränderung)</t>
  </si>
  <si>
    <t xml:space="preserve">Größe</t>
  </si>
  <si>
    <t xml:space="preserve">Wert</t>
  </si>
  <si>
    <t xml:space="preserve">Einheit</t>
  </si>
  <si>
    <t xml:space="preserve">Formel und Erläuterung</t>
  </si>
  <si>
    <t xml:space="preserve">CPI_raw      RAW-Stall-Anteil  (kein Forwarding)</t>
  </si>
  <si>
    <t xml:space="preserve">Takte / Instr.</t>
  </si>
  <si>
    <t xml:space="preserve">p_raw1×3 + p_raw2×2 + p_raw3×1  —  Stall-Tiefe: 3 wenn Produzent in EX, 2 wenn in MEM, 1 wenn in WB.  Kein Forwarding: Konsument wartet in ID, bis Produzent WB abgeschlossen hat.</t>
  </si>
  <si>
    <t xml:space="preserve">CPI_raw_fw   RAW-Stall-Anteil  (mit Forwarding, D5)</t>
  </si>
  <si>
    <t xml:space="preserve">p_lu × 1  —  Mit EX→EX/MEM→EX-Forwarding bleibt nur der Load-Use-Fall (1 Stall-Zyklus), weil das Load-Ergebnis erst nach der MEM-Stufe vorliegt, nicht schon nach EX.</t>
  </si>
  <si>
    <t xml:space="preserve">CPI_branch   Branch-Penalty-Anteil</t>
  </si>
  <si>
    <t xml:space="preserve">f_branch × p_taken × cyc_branch  —  Branch wird in EX aufgelöst (cc_cpupipe.sv: flush_s = ex_branch_taken_s); 2 Stufen (IF, ID) werden mit NOP überschrieben.  Gilt für D3, D4, D5.</t>
  </si>
  <si>
    <t xml:space="preserve">CPI_miss_I   I-Cache-Miss-Anteil  (pro Instruktion)</t>
  </si>
  <si>
    <t xml:space="preserve">(1−h_I) × m_cyc  —  Bei jedem Instruction-Fetch-Miss friert die gesamte Pipeline ein bis ic_rvalid = 1 (icache_stall_s in cc_cpupipe.sv).  Gilt für D2, D3, D5.</t>
  </si>
  <si>
    <t xml:space="preserve">CPI_miss_D   D-Cache-Miss-Anteil  (pro Instruktion)</t>
  </si>
  <si>
    <t xml:space="preserve">f_load × (1−h_D) × m_cyc  —  D-Cache-Miss tritt nur bei Loads auf; Stores gehen direkt in den SRAM (Scratchpad-Bypass, kein Evict).  Gilt für D2, D3, D5.</t>
  </si>
  <si>
    <t xml:space="preserve">ABSCHNITT 3  —  Design-Vergleich  D1–D5  ( Speedup &gt; 1.0 = schneller als Referenz )</t>
  </si>
  <si>
    <t xml:space="preserve">Design</t>
  </si>
  <si>
    <t xml:space="preserve">Beschreibung</t>
  </si>
  <si>
    <t xml:space="preserve">CPI  Architektur
(FSM / Pipeline)</t>
  </si>
  <si>
    <t xml:space="preserve">CPI  Hazard-
Stalls</t>
  </si>
  <si>
    <t xml:space="preserve">CPI  Cache-
Miss</t>
  </si>
  <si>
    <t xml:space="preserve">CPI  gesamt</t>
  </si>
  <si>
    <t xml:space="preserve">IPC</t>
  </si>
  <si>
    <t xml:space="preserve">Speedup
vs. D1</t>
  </si>
  <si>
    <t xml:space="preserve">Speedup
vs. D4</t>
  </si>
  <si>
    <t xml:space="preserve">Anmerkungen</t>
  </si>
  <si>
    <t xml:space="preserve">D1</t>
  </si>
  <si>
    <t xml:space="preserve">RV_NoPipeline  —  kein Pipeline, flaches SRAM (BPI-Bus), kein Cache</t>
  </si>
  <si>
    <t xml:space="preserve">4-Zustand FSM F0→F1→EX→[ELD]→F0.  Deterministisch: exakt 3 Takte (nicht-Load) bzw. 4 Takte (Load).  Speedup vs. D1 = 1.00 (Referenz-Design).</t>
  </si>
  <si>
    <t xml:space="preserve">D2</t>
  </si>
  <si>
    <t xml:space="preserve">RV_NoPipelineCache  —  kein Pipeline, I+D-Cache, SRAM-backed via AXI4</t>
  </si>
  <si>
    <t xml:space="preserve">Identische FSM wie D1, aber FETCH1 und EXECLD warten auf ic_rvalid/dc_rvalid.  CPI_miss = CPI_miss_I + CPI_miss_D  (aus Abschnitt 2).  Bei h_I = h_D = 1.0 identisch mit D1.</t>
  </si>
  <si>
    <t xml:space="preserve">D3</t>
  </si>
  <si>
    <t xml:space="preserve">RV_PipelineCache  —  5-stufig, stall-only, KEIN Forwarding, I+D-Cache</t>
  </si>
  <si>
    <t xml:space="preserve">5-stufig IF/ID/EX/MEM/WB (cc_cpupipe.sv).  Kein Forwarding: RAW 1/2/3-back → 3/2/1 Stall-Zyklen in ID.  Branch in EX aufgelöst → 2-Stufen-Flush.  Cache-Miss → globaler Freeze (icache_stall_s | dcache_stall_s).</t>
  </si>
  <si>
    <t xml:space="preserve">D4</t>
  </si>
  <si>
    <t xml:space="preserve">Pipeline + SRAM (hypothetisch)  —  5-stufig, direktes SRAM, kein Cache, kein Forwarding</t>
  </si>
  <si>
    <t xml:space="preserve">Wie D3, aber I-SRAM und D-SRAM direkt per SRAM-Interface angebunden.  Kein AXI4, keine Cache-Misses, deterministisches Timing.  Entspricht D3 mit h_I = h_D = 1.0.  Einschränkung: Programm- und Datengröße durch SRAM-Kapazität begrenzt.</t>
  </si>
  <si>
    <t xml:space="preserve">D5</t>
  </si>
  <si>
    <t xml:space="preserve">Pipeline + Cache + Forwarding (hypothetisch)  —  5-stufig, EX→EX / MEM→EX Forwarding</t>
  </si>
  <si>
    <t xml:space="preserve">Wie D3, aber mit EX→EX/MEM→EX Forwarding-Netz.  Einziger verbleibender Stall: Load-Use (1 Zyklus).  Typische In-Order-Pipeline (MIPS R3000-Klasse).  Implementierungsaufwand: ~50 LUT zusätzlich in cc_cpupipe.sv; kritischer Pfad verlängert sich durch Forwarding-Mux leicht.</t>
  </si>
  <si>
    <t xml:space="preserve">D1  RV_NoPipeline           – Referenz-Design  (CPI_total = Referenz für Speedup-Spalte I)</t>
  </si>
  <si>
    <t xml:space="preserve">D2  RV_NoPipelineCache       – Cache-Erweiterung ohne Pipeline</t>
  </si>
  <si>
    <t xml:space="preserve">D3  RV_PipelineCache         – implementierte Pipeline  (cc_cpupipe.sv, kein Forwarding)</t>
  </si>
  <si>
    <t xml:space="preserve">D4  Pipeline + SRAM          – hypothetisch, kein Cache, kein Forwarding  (= Referenz für Speedup-Spalte J: zeigt Cache-Miss-Overhead von D3/D5)</t>
  </si>
  <si>
    <t xml:space="preserve">D5  Pipeline+Cache+Fwd       – hypothetisch, optimale In-Order-Pipeline</t>
  </si>
  <si>
    <t xml:space="preserve">Gelb  – editierbare Parameterzelle (Abschnitt 1)</t>
  </si>
  <si>
    <t xml:space="preserve">Hellblau  – berechnete Zelle (Formel, nicht editieren)</t>
  </si>
  <si>
    <t xml:space="preserve">Annahmen und Einschränkungen</t>
  </si>
  <si>
    <t xml:space="preserve">Speicher-Modell</t>
  </si>
  <si>
    <t xml:space="preserve">Alle Designs: X-FAB synchrones SRAM, 1-Takt Read-Latenz (Adresse an steigender Flanke N → Daten gültig vor steigender Flanke N+1). D1/D4 greifen direkt per BPI/SRAM-Interface zu. D2/D3/D5 nutzen I+D-Cache mit AXI4-Refill-Pfad zum Haupt-SRAM.</t>
  </si>
  <si>
    <t xml:space="preserve">Code-Mix</t>
  </si>
  <si>
    <t xml:space="preserve">Typische Werte aus Harris &amp; Patterson 'Digital Design and Computer Architecture' und SPEC-CPU-Messungen für embedded RISC-V. Für konkrete RWU-Testprogramme (UART, GPIO) empfiehlt sich eine Profiling-basierte Anpassung von f_load, f_store, f_branch.</t>
  </si>
  <si>
    <t xml:space="preserve">RAW-Häufigkeiten (D3/D4)</t>
  </si>
  <si>
    <t xml:space="preserve">p_raw1/2/3 gelten für typischen C-Code kompiliert mit gcc -O1. Bei -O0 (kein Instruction Scheduling) steigen die Werte erheblich. Bei -O2/-O3 (Reorder Buffer) sinken sie signifikant. Assemblerprogramme (UART-Test) liegen je nach Schreibstil dazwischen.</t>
  </si>
  <si>
    <t xml:space="preserve">Branch-Modell</t>
  </si>
  <si>
    <t xml:space="preserve">Kein Branch Predictor in allen fünf Designs. Penalty gilt ausschließlich für genommene Sprünge (taken). Not-taken Branches verursachen in der Pipeline keinen Flush-Overhead. JAL (immer taken) ist in f_branch enthalten und zählt immer zur Penalty.</t>
  </si>
  <si>
    <t xml:space="preserve">Stores</t>
  </si>
  <si>
    <t xml:space="preserve">D1/D2: Store schreibt in EXEC_ST (synchrones Schreiben, kein EXECLD) → CPI_store = 3. D3/D4/D5: Store wird in der MEM-Stufe abgeschlossen (1 Takt). Kein Miss-Stall für Stores in allen Designs (Scratchpad-/SRAM-Bypass, kein Evict).</t>
  </si>
  <si>
    <t xml:space="preserve">Forwarding D5</t>
  </si>
  <si>
    <t xml:space="preserve">Das hypothetische Forwarding-Netz leitet ALU-Ergebnisse aus EX und MEM direkt in den EX-Eingangs-Mux zurück (zwei neue Mux-Stufen in cc_cpupipe.sv). Kritischer Pfad: ALU → Forwarding-Mux → nächste ALU. Implementierungsaufwand: ≈ 50 LUT (Schätzung für XO035, 4-LUT-Technologie).</t>
  </si>
  <si>
    <t xml:space="preserve">Speedup-Interpretation</t>
  </si>
  <si>
    <t xml:space="preserve">Speedup = CPI_Referenz / CPI_Design.  Wert &gt; 1.0 bedeutet schneller als die Referenz. Spalte I (vs. D1): absoluter Gewinn der Pipeline über das sequentielle Design. Spalte J (vs. D4): zeigt den Cache-Miss-Overhead von D2/D3/D5 gegenüber dem hypothetischen fehlerfreien SRAM-Design D4.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</si>
</sst>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"/>
    <numFmt numFmtId="167" formatCode="0.000"/>
    <numFmt numFmtId="168" formatCode="0.0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sz val="10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F4E79"/>
      <name val="Cambria"/>
      <family val="0"/>
      <charset val="1"/>
    </font>
    <font>
      <sz val="9"/>
      <color rgb="FF000000"/>
      <name val="Cambria"/>
      <family val="0"/>
      <charset val="1"/>
    </font>
    <font>
      <sz val="9"/>
      <color rgb="FFFFFFFF"/>
      <name val="Cambria"/>
      <family val="0"/>
      <charset val="1"/>
    </font>
    <font>
      <sz val="10"/>
      <color rgb="FF666666"/>
      <name val="Cambria"/>
      <family val="0"/>
      <charset val="1"/>
    </font>
    <font>
      <b val="true"/>
      <sz val="10"/>
      <color rgb="FF7F4B00"/>
      <name val="Cambria"/>
      <family val="0"/>
      <charset val="1"/>
    </font>
    <font>
      <sz val="10"/>
      <color rgb="FF1F4E79"/>
      <name val="Cambria"/>
      <family val="0"/>
      <charset val="1"/>
    </font>
    <font>
      <sz val="10"/>
      <color rgb="FF444444"/>
      <name val="Cambria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E2EFD9"/>
      </patternFill>
    </fill>
    <fill>
      <patternFill patternType="solid">
        <fgColor rgb="FFFFFF99"/>
        <bgColor rgb="FFFFF2CC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FFB3B3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D9E1F2"/>
        <bgColor rgb="FFD6E4F0"/>
      </patternFill>
    </fill>
    <fill>
      <patternFill patternType="solid">
        <fgColor rgb="FFE2EFD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E2EFD9"/>
      <rgbColor rgb="FFFCE4D6"/>
      <rgbColor rgb="FFF2F2F2"/>
      <rgbColor rgb="FFFFB3B3"/>
      <rgbColor rgb="FF2E75B6"/>
      <rgbColor rgb="FF33CCCC"/>
      <rgbColor rgb="FF99CC00"/>
      <rgbColor rgb="FFFFC0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7F4B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5" min="4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5" t="s">
        <v>8</v>
      </c>
      <c r="D5" s="5" t="s">
        <v>9</v>
      </c>
      <c r="E5" s="5" t="s">
        <v>10</v>
      </c>
    </row>
    <row r="6" customFormat="false" ht="15" hidden="false" customHeight="false" outlineLevel="0" collapsed="false">
      <c r="A6" s="4" t="s">
        <v>11</v>
      </c>
      <c r="B6" s="6" t="s">
        <v>12</v>
      </c>
      <c r="C6" s="6" t="s">
        <v>12</v>
      </c>
      <c r="D6" s="6" t="s">
        <v>13</v>
      </c>
      <c r="E6" s="6" t="s">
        <v>14</v>
      </c>
    </row>
    <row r="7" customFormat="false" ht="15" hidden="false" customHeight="false" outlineLevel="0" collapsed="false">
      <c r="A7" s="4" t="s">
        <v>15</v>
      </c>
      <c r="B7" s="5" t="s">
        <v>16</v>
      </c>
      <c r="C7" s="5" t="s">
        <v>16</v>
      </c>
      <c r="D7" s="5" t="s">
        <v>13</v>
      </c>
      <c r="E7" s="5" t="s">
        <v>13</v>
      </c>
    </row>
    <row r="8" customFormat="false" ht="15" hidden="false" customHeight="false" outlineLevel="0" collapsed="false">
      <c r="A8" s="4" t="s">
        <v>17</v>
      </c>
      <c r="B8" s="6" t="s">
        <v>18</v>
      </c>
      <c r="C8" s="6" t="s">
        <v>18</v>
      </c>
      <c r="D8" s="6" t="s">
        <v>13</v>
      </c>
      <c r="E8" s="6" t="s">
        <v>13</v>
      </c>
    </row>
    <row r="9" customFormat="false" ht="15" hidden="false" customHeight="false" outlineLevel="0" collapsed="false">
      <c r="A9" s="4" t="s">
        <v>19</v>
      </c>
      <c r="B9" s="5" t="s">
        <v>20</v>
      </c>
      <c r="C9" s="5" t="s">
        <v>21</v>
      </c>
      <c r="D9" s="5" t="s">
        <v>22</v>
      </c>
      <c r="E9" s="5" t="s">
        <v>23</v>
      </c>
    </row>
    <row r="10" customFormat="false" ht="15" hidden="false" customHeight="false" outlineLevel="0" collapsed="false">
      <c r="A10" s="4" t="s">
        <v>24</v>
      </c>
      <c r="B10" s="6" t="s">
        <v>25</v>
      </c>
      <c r="C10" s="6" t="s">
        <v>26</v>
      </c>
      <c r="D10" s="6" t="s">
        <v>27</v>
      </c>
      <c r="E10" s="6" t="s">
        <v>25</v>
      </c>
    </row>
    <row r="11" customFormat="false" ht="15" hidden="false" customHeight="false" outlineLevel="0" collapsed="false">
      <c r="A11" s="4" t="s">
        <v>28</v>
      </c>
      <c r="B11" s="5" t="s">
        <v>29</v>
      </c>
      <c r="C11" s="5" t="s">
        <v>30</v>
      </c>
      <c r="D11" s="5" t="s">
        <v>29</v>
      </c>
      <c r="E11" s="5" t="s">
        <v>13</v>
      </c>
    </row>
    <row r="12" customFormat="false" ht="15" hidden="false" customHeight="false" outlineLevel="0" collapsed="false">
      <c r="A12" s="4" t="s">
        <v>31</v>
      </c>
      <c r="B12" s="6" t="s">
        <v>32</v>
      </c>
      <c r="C12" s="6" t="s">
        <v>32</v>
      </c>
      <c r="D12" s="6" t="s">
        <v>33</v>
      </c>
      <c r="E12" s="6" t="s">
        <v>34</v>
      </c>
    </row>
    <row r="13" customFormat="false" ht="15" hidden="false" customHeight="false" outlineLevel="0" collapsed="false">
      <c r="A13" s="4" t="s">
        <v>35</v>
      </c>
      <c r="B13" s="5" t="s">
        <v>36</v>
      </c>
      <c r="C13" s="5" t="s">
        <v>36</v>
      </c>
      <c r="D13" s="5" t="s">
        <v>37</v>
      </c>
      <c r="E13" s="5" t="s">
        <v>13</v>
      </c>
    </row>
    <row r="14" customFormat="false" ht="15" hidden="false" customHeight="false" outlineLevel="0" collapsed="false">
      <c r="A14" s="4" t="s">
        <v>38</v>
      </c>
      <c r="B14" s="6" t="s">
        <v>29</v>
      </c>
      <c r="C14" s="6" t="s">
        <v>30</v>
      </c>
      <c r="D14" s="6" t="s">
        <v>29</v>
      </c>
      <c r="E14" s="6" t="s">
        <v>29</v>
      </c>
    </row>
    <row r="15" customFormat="false" ht="15" hidden="false" customHeight="false" outlineLevel="0" collapsed="false">
      <c r="A15" s="4" t="s">
        <v>39</v>
      </c>
      <c r="B15" s="5" t="s">
        <v>40</v>
      </c>
      <c r="C15" s="5" t="s">
        <v>40</v>
      </c>
      <c r="D15" s="5" t="s">
        <v>29</v>
      </c>
      <c r="E15" s="5" t="s">
        <v>29</v>
      </c>
    </row>
    <row r="16" customFormat="false" ht="15" hidden="false" customHeight="false" outlineLevel="0" collapsed="false">
      <c r="A16" s="4" t="s">
        <v>41</v>
      </c>
      <c r="B16" s="6" t="s">
        <v>42</v>
      </c>
      <c r="C16" s="6" t="s">
        <v>42</v>
      </c>
      <c r="D16" s="6" t="s">
        <v>43</v>
      </c>
      <c r="E16" s="6" t="s">
        <v>43</v>
      </c>
    </row>
    <row r="18" customFormat="false" ht="15" hidden="false" customHeight="false" outlineLevel="0" collapsed="false">
      <c r="A18" s="7" t="s">
        <v>44</v>
      </c>
      <c r="B18" s="7"/>
      <c r="C18" s="7" t="s">
        <v>45</v>
      </c>
      <c r="D18" s="7"/>
      <c r="E18" s="3" t="s">
        <v>46</v>
      </c>
    </row>
    <row r="19" customFormat="false" ht="31.5" hidden="false" customHeight="true" outlineLevel="0" collapsed="false">
      <c r="A19" s="8" t="s">
        <v>47</v>
      </c>
      <c r="B19" s="8"/>
      <c r="C19" s="9" t="s">
        <v>48</v>
      </c>
      <c r="D19" s="9"/>
      <c r="E19" s="6" t="s">
        <v>49</v>
      </c>
    </row>
    <row r="20" customFormat="false" ht="31.5" hidden="false" customHeight="true" outlineLevel="0" collapsed="false">
      <c r="A20" s="8" t="s">
        <v>50</v>
      </c>
      <c r="B20" s="8"/>
      <c r="C20" s="10" t="s">
        <v>51</v>
      </c>
      <c r="D20" s="10"/>
      <c r="E20" s="5" t="s">
        <v>52</v>
      </c>
    </row>
    <row r="21" customFormat="false" ht="31.5" hidden="false" customHeight="true" outlineLevel="0" collapsed="false">
      <c r="A21" s="8" t="s">
        <v>53</v>
      </c>
      <c r="B21" s="8"/>
      <c r="C21" s="9" t="s">
        <v>54</v>
      </c>
      <c r="D21" s="9"/>
      <c r="E21" s="6" t="s">
        <v>55</v>
      </c>
    </row>
    <row r="22" customFormat="false" ht="31.5" hidden="false" customHeight="true" outlineLevel="0" collapsed="false">
      <c r="A22" s="8" t="s">
        <v>56</v>
      </c>
      <c r="B22" s="8"/>
      <c r="C22" s="10" t="s">
        <v>57</v>
      </c>
      <c r="D22" s="10"/>
      <c r="E22" s="5" t="s">
        <v>58</v>
      </c>
    </row>
    <row r="23" customFormat="false" ht="31.5" hidden="false" customHeight="true" outlineLevel="0" collapsed="false">
      <c r="A23" s="8" t="s">
        <v>59</v>
      </c>
      <c r="B23" s="8"/>
      <c r="C23" s="9" t="s">
        <v>60</v>
      </c>
      <c r="D23" s="9"/>
      <c r="E23" s="6" t="s">
        <v>61</v>
      </c>
    </row>
    <row r="24" customFormat="false" ht="31.5" hidden="false" customHeight="true" outlineLevel="0" collapsed="false">
      <c r="A24" s="8" t="s">
        <v>62</v>
      </c>
      <c r="B24" s="8"/>
      <c r="C24" s="10" t="s">
        <v>63</v>
      </c>
      <c r="D24" s="10"/>
      <c r="E24" s="5" t="s">
        <v>64</v>
      </c>
    </row>
    <row r="25" customFormat="false" ht="31.5" hidden="false" customHeight="true" outlineLevel="0" collapsed="false">
      <c r="A25" s="8" t="s">
        <v>65</v>
      </c>
      <c r="B25" s="8"/>
      <c r="C25" s="9" t="s">
        <v>66</v>
      </c>
      <c r="D25" s="9"/>
      <c r="E25" s="6" t="s">
        <v>67</v>
      </c>
    </row>
    <row r="26" customFormat="false" ht="31.5" hidden="false" customHeight="true" outlineLevel="0" collapsed="false">
      <c r="A26" s="8" t="s">
        <v>68</v>
      </c>
      <c r="B26" s="8"/>
      <c r="C26" s="10" t="s">
        <v>69</v>
      </c>
      <c r="D26" s="10"/>
      <c r="E26" s="5" t="s">
        <v>70</v>
      </c>
    </row>
    <row r="27" customFormat="false" ht="31.5" hidden="false" customHeight="true" outlineLevel="0" collapsed="false">
      <c r="A27" s="8" t="s">
        <v>24</v>
      </c>
      <c r="B27" s="8"/>
      <c r="C27" s="9" t="s">
        <v>71</v>
      </c>
      <c r="D27" s="9"/>
      <c r="E27" s="6" t="s">
        <v>72</v>
      </c>
    </row>
    <row r="28" customFormat="false" ht="31.5" hidden="false" customHeight="true" outlineLevel="0" collapsed="false">
      <c r="A28" s="8" t="s">
        <v>73</v>
      </c>
      <c r="B28" s="8"/>
      <c r="C28" s="10" t="s">
        <v>74</v>
      </c>
      <c r="D28" s="10"/>
      <c r="E28" s="5" t="s">
        <v>75</v>
      </c>
    </row>
    <row r="29" customFormat="false" ht="31.5" hidden="false" customHeight="true" outlineLevel="0" collapsed="false">
      <c r="A29" s="8" t="s">
        <v>76</v>
      </c>
      <c r="B29" s="8"/>
      <c r="C29" s="9" t="s">
        <v>77</v>
      </c>
      <c r="D29" s="9"/>
      <c r="E29" s="6" t="s">
        <v>78</v>
      </c>
    </row>
    <row r="30" customFormat="false" ht="31.5" hidden="false" customHeight="true" outlineLevel="0" collapsed="false">
      <c r="A30" s="8" t="s">
        <v>79</v>
      </c>
      <c r="B30" s="8"/>
      <c r="C30" s="10" t="s">
        <v>80</v>
      </c>
      <c r="D30" s="10"/>
      <c r="E30" s="5" t="s">
        <v>81</v>
      </c>
    </row>
    <row r="31" customFormat="false" ht="31.5" hidden="false" customHeight="true" outlineLevel="0" collapsed="false">
      <c r="A31" s="8" t="s">
        <v>82</v>
      </c>
      <c r="B31" s="8"/>
      <c r="C31" s="9" t="s">
        <v>83</v>
      </c>
      <c r="D31" s="9"/>
      <c r="E31" s="6" t="s">
        <v>84</v>
      </c>
    </row>
    <row r="33" customFormat="false" ht="15" hidden="false" customHeight="false" outlineLevel="0" collapsed="false">
      <c r="A33" s="3" t="s">
        <v>85</v>
      </c>
      <c r="B33" s="3" t="s">
        <v>86</v>
      </c>
      <c r="C33" s="7" t="s">
        <v>87</v>
      </c>
      <c r="D33" s="7"/>
      <c r="E33" s="3" t="s">
        <v>88</v>
      </c>
    </row>
    <row r="34" customFormat="false" ht="15" hidden="false" customHeight="true" outlineLevel="0" collapsed="false">
      <c r="A34" s="11" t="s">
        <v>89</v>
      </c>
      <c r="B34" s="12" t="s">
        <v>90</v>
      </c>
      <c r="C34" s="10" t="s">
        <v>91</v>
      </c>
      <c r="D34" s="10"/>
      <c r="E34" s="13" t="s">
        <v>92</v>
      </c>
    </row>
    <row r="35" customFormat="false" ht="15" hidden="false" customHeight="true" outlineLevel="0" collapsed="false">
      <c r="A35" s="11" t="s">
        <v>93</v>
      </c>
      <c r="B35" s="12" t="s">
        <v>90</v>
      </c>
      <c r="C35" s="10" t="s">
        <v>94</v>
      </c>
      <c r="D35" s="10"/>
      <c r="E35" s="13" t="s">
        <v>95</v>
      </c>
    </row>
    <row r="36" customFormat="false" ht="15" hidden="false" customHeight="true" outlineLevel="0" collapsed="false">
      <c r="A36" s="14" t="s">
        <v>96</v>
      </c>
      <c r="B36" s="15" t="s">
        <v>97</v>
      </c>
      <c r="C36" s="10" t="s">
        <v>98</v>
      </c>
      <c r="D36" s="10"/>
      <c r="E36" s="13" t="s">
        <v>99</v>
      </c>
    </row>
    <row r="37" customFormat="false" ht="15" hidden="false" customHeight="true" outlineLevel="0" collapsed="false">
      <c r="A37" s="14" t="s">
        <v>100</v>
      </c>
      <c r="B37" s="15" t="s">
        <v>97</v>
      </c>
      <c r="C37" s="10" t="s">
        <v>101</v>
      </c>
      <c r="D37" s="10"/>
      <c r="E37" s="13" t="s">
        <v>102</v>
      </c>
    </row>
    <row r="38" customFormat="false" ht="15" hidden="false" customHeight="true" outlineLevel="0" collapsed="false">
      <c r="A38" s="14" t="s">
        <v>103</v>
      </c>
      <c r="B38" s="15" t="s">
        <v>97</v>
      </c>
      <c r="C38" s="10" t="s">
        <v>104</v>
      </c>
      <c r="D38" s="10"/>
      <c r="E38" s="13" t="s">
        <v>105</v>
      </c>
    </row>
    <row r="39" customFormat="false" ht="15" hidden="false" customHeight="true" outlineLevel="0" collapsed="false">
      <c r="A39" s="14" t="s">
        <v>106</v>
      </c>
      <c r="B39" s="15" t="s">
        <v>97</v>
      </c>
      <c r="C39" s="10" t="s">
        <v>107</v>
      </c>
      <c r="D39" s="10"/>
      <c r="E39" s="13" t="s">
        <v>108</v>
      </c>
    </row>
  </sheetData>
  <mergeCells count="37">
    <mergeCell ref="A1:E1"/>
    <mergeCell ref="A2:E2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C33:D33"/>
    <mergeCell ref="C34:D34"/>
    <mergeCell ref="C35:D35"/>
    <mergeCell ref="C36:D36"/>
    <mergeCell ref="C37:D37"/>
    <mergeCell ref="C38:D38"/>
    <mergeCell ref="C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13" min="3" style="0" width="14"/>
  </cols>
  <sheetData>
    <row r="1" customFormat="false" ht="24" hidden="false" customHeight="true" outlineLevel="0" collapsed="false">
      <c r="A1" s="16" t="s">
        <v>109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customFormat="false" ht="15" hidden="false" customHeight="false" outlineLevel="0" collapsed="false">
      <c r="A3" s="7" t="s">
        <v>110</v>
      </c>
      <c r="B3" s="7"/>
      <c r="C3" s="7"/>
      <c r="D3" s="7"/>
      <c r="E3" s="7"/>
    </row>
    <row r="4" customFormat="false" ht="46.25" hidden="false" customHeight="true" outlineLevel="0" collapsed="false">
      <c r="A4" s="8" t="s">
        <v>111</v>
      </c>
      <c r="B4" s="8"/>
      <c r="C4" s="17" t="s">
        <v>112</v>
      </c>
      <c r="D4" s="18" t="s">
        <v>113</v>
      </c>
      <c r="E4" s="6" t="s">
        <v>114</v>
      </c>
    </row>
    <row r="5" customFormat="false" ht="35.05" hidden="false" customHeight="true" outlineLevel="0" collapsed="false">
      <c r="A5" s="8" t="s">
        <v>115</v>
      </c>
      <c r="B5" s="8"/>
      <c r="C5" s="19" t="s">
        <v>116</v>
      </c>
      <c r="D5" s="13" t="s">
        <v>117</v>
      </c>
      <c r="E5" s="5" t="s">
        <v>118</v>
      </c>
    </row>
    <row r="6" customFormat="false" ht="57.45" hidden="false" customHeight="true" outlineLevel="0" collapsed="false">
      <c r="A6" s="8" t="s">
        <v>119</v>
      </c>
      <c r="B6" s="8"/>
      <c r="C6" s="17" t="s">
        <v>120</v>
      </c>
      <c r="D6" s="18" t="s">
        <v>121</v>
      </c>
      <c r="E6" s="6" t="s">
        <v>122</v>
      </c>
    </row>
    <row r="7" customFormat="false" ht="35.05" hidden="false" customHeight="true" outlineLevel="0" collapsed="false">
      <c r="A7" s="8" t="s">
        <v>123</v>
      </c>
      <c r="B7" s="8"/>
      <c r="C7" s="19" t="s">
        <v>124</v>
      </c>
      <c r="D7" s="13" t="s">
        <v>117</v>
      </c>
      <c r="E7" s="5" t="s">
        <v>125</v>
      </c>
    </row>
    <row r="8" customFormat="false" ht="23.85" hidden="false" customHeight="true" outlineLevel="0" collapsed="false">
      <c r="A8" s="8" t="s">
        <v>126</v>
      </c>
      <c r="B8" s="8"/>
      <c r="C8" s="17" t="s">
        <v>120</v>
      </c>
      <c r="D8" s="18" t="s">
        <v>117</v>
      </c>
      <c r="E8" s="6" t="s">
        <v>127</v>
      </c>
    </row>
    <row r="9" customFormat="false" ht="23.85" hidden="false" customHeight="true" outlineLevel="0" collapsed="false">
      <c r="A9" s="8" t="s">
        <v>128</v>
      </c>
      <c r="B9" s="8"/>
      <c r="C9" s="19" t="s">
        <v>129</v>
      </c>
      <c r="D9" s="13" t="s">
        <v>117</v>
      </c>
      <c r="E9" s="5" t="s">
        <v>130</v>
      </c>
    </row>
    <row r="10" customFormat="false" ht="35.05" hidden="false" customHeight="true" outlineLevel="0" collapsed="false">
      <c r="A10" s="8" t="s">
        <v>131</v>
      </c>
      <c r="B10" s="8"/>
      <c r="C10" s="17" t="s">
        <v>112</v>
      </c>
      <c r="D10" s="18" t="s">
        <v>132</v>
      </c>
      <c r="E10" s="6" t="s">
        <v>133</v>
      </c>
    </row>
    <row r="11" customFormat="false" ht="46.25" hidden="false" customHeight="true" outlineLevel="0" collapsed="false">
      <c r="A11" s="8" t="s">
        <v>134</v>
      </c>
      <c r="B11" s="8"/>
      <c r="C11" s="19" t="s">
        <v>13</v>
      </c>
      <c r="D11" s="13" t="s">
        <v>13</v>
      </c>
      <c r="E11" s="5" t="s">
        <v>135</v>
      </c>
    </row>
    <row r="12" customFormat="false" ht="46.25" hidden="false" customHeight="true" outlineLevel="0" collapsed="false">
      <c r="A12" s="8" t="s">
        <v>136</v>
      </c>
      <c r="B12" s="8"/>
      <c r="C12" s="17" t="s">
        <v>137</v>
      </c>
      <c r="D12" s="18" t="s">
        <v>13</v>
      </c>
      <c r="E12" s="6" t="s">
        <v>138</v>
      </c>
    </row>
    <row r="14" customFormat="false" ht="15" hidden="false" customHeight="false" outlineLevel="0" collapsed="false">
      <c r="A14" s="7" t="s">
        <v>139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customFormat="false" ht="18" hidden="false" customHeight="true" outlineLevel="0" collapsed="false">
      <c r="A15" s="20" t="s">
        <v>140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customFormat="false" ht="18" hidden="false" customHeight="true" outlineLevel="0" collapsed="false">
      <c r="A16" s="20" t="s">
        <v>141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customFormat="false" ht="18" hidden="false" customHeight="true" outlineLevel="0" collapsed="false">
      <c r="A17" s="20" t="s">
        <v>142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customFormat="false" ht="18" hidden="false" customHeight="true" outlineLevel="0" collapsed="false">
      <c r="A18" s="20" t="s">
        <v>143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customFormat="false" ht="18" hidden="false" customHeight="true" outlineLevel="0" collapsed="false">
      <c r="A19" s="20" t="s">
        <v>144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1" customFormat="false" ht="19.5" hidden="false" customHeight="true" outlineLevel="0" collapsed="false">
      <c r="A21" s="21" t="s">
        <v>145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customFormat="false" ht="30" hidden="false" customHeight="true" outlineLevel="0" collapsed="false">
      <c r="A22" s="3" t="s">
        <v>146</v>
      </c>
      <c r="B22" s="3" t="s">
        <v>147</v>
      </c>
      <c r="C22" s="3" t="s">
        <v>148</v>
      </c>
      <c r="D22" s="3" t="s">
        <v>149</v>
      </c>
      <c r="E22" s="3" t="s">
        <v>150</v>
      </c>
      <c r="F22" s="3" t="s">
        <v>151</v>
      </c>
      <c r="G22" s="3" t="s">
        <v>62</v>
      </c>
      <c r="H22" s="3" t="s">
        <v>152</v>
      </c>
      <c r="I22" s="3" t="s">
        <v>153</v>
      </c>
      <c r="J22" s="3" t="s">
        <v>154</v>
      </c>
      <c r="K22" s="3" t="s">
        <v>155</v>
      </c>
      <c r="L22" s="3" t="s">
        <v>156</v>
      </c>
    </row>
    <row r="23" customFormat="false" ht="15" hidden="false" customHeight="false" outlineLevel="0" collapsed="false">
      <c r="A23" s="22" t="s">
        <v>157</v>
      </c>
      <c r="B23" s="23" t="n">
        <v>1.042</v>
      </c>
      <c r="C23" s="23" t="n">
        <v>1.042</v>
      </c>
      <c r="D23" s="23" t="n">
        <v>0.042</v>
      </c>
      <c r="E23" s="23" t="n">
        <v>0.0105</v>
      </c>
      <c r="F23" s="23" t="n">
        <v>0.0525</v>
      </c>
      <c r="G23" s="23" t="n">
        <v>1.0525</v>
      </c>
      <c r="H23" s="24" t="n">
        <v>0.950118764845606</v>
      </c>
      <c r="I23" s="23" t="n">
        <v>1.0525</v>
      </c>
      <c r="J23" s="25" t="n">
        <v>5.25</v>
      </c>
      <c r="K23" s="26" t="s">
        <v>158</v>
      </c>
      <c r="L23" s="27" t="s">
        <v>159</v>
      </c>
    </row>
    <row r="24" customFormat="false" ht="15" hidden="false" customHeight="false" outlineLevel="0" collapsed="false">
      <c r="A24" s="22" t="s">
        <v>160</v>
      </c>
      <c r="B24" s="23" t="n">
        <v>1.21</v>
      </c>
      <c r="C24" s="23" t="n">
        <v>1.21</v>
      </c>
      <c r="D24" s="23" t="n">
        <v>0.21</v>
      </c>
      <c r="E24" s="23" t="n">
        <v>0.0525</v>
      </c>
      <c r="F24" s="23" t="n">
        <v>0.2625</v>
      </c>
      <c r="G24" s="23" t="n">
        <v>1.2625</v>
      </c>
      <c r="H24" s="24" t="n">
        <v>0.792079207920792</v>
      </c>
      <c r="I24" s="23" t="n">
        <v>1.2625</v>
      </c>
      <c r="J24" s="25" t="n">
        <v>26.25</v>
      </c>
      <c r="K24" s="26" t="s">
        <v>158</v>
      </c>
      <c r="L24" s="27" t="s">
        <v>159</v>
      </c>
    </row>
    <row r="25" customFormat="false" ht="15" hidden="false" customHeight="false" outlineLevel="0" collapsed="false">
      <c r="A25" s="22" t="s">
        <v>161</v>
      </c>
      <c r="B25" s="23" t="n">
        <v>1.42</v>
      </c>
      <c r="C25" s="23" t="n">
        <v>1.42</v>
      </c>
      <c r="D25" s="23" t="n">
        <v>0.42</v>
      </c>
      <c r="E25" s="23" t="n">
        <v>0.105</v>
      </c>
      <c r="F25" s="23" t="n">
        <v>0.525</v>
      </c>
      <c r="G25" s="23" t="n">
        <v>1.525</v>
      </c>
      <c r="H25" s="24" t="n">
        <v>0.655737704918033</v>
      </c>
      <c r="I25" s="23" t="n">
        <v>1.525</v>
      </c>
      <c r="J25" s="25" t="n">
        <v>52.5</v>
      </c>
      <c r="K25" s="26" t="s">
        <v>158</v>
      </c>
      <c r="L25" s="27" t="s">
        <v>159</v>
      </c>
    </row>
    <row r="26" customFormat="false" ht="15" hidden="false" customHeight="false" outlineLevel="0" collapsed="false">
      <c r="A26" s="28" t="s">
        <v>162</v>
      </c>
      <c r="B26" s="29" t="n">
        <v>1.84</v>
      </c>
      <c r="C26" s="29" t="n">
        <v>1.84</v>
      </c>
      <c r="D26" s="29" t="n">
        <v>0.84</v>
      </c>
      <c r="E26" s="29" t="n">
        <v>0.21</v>
      </c>
      <c r="F26" s="29" t="n">
        <v>1.05</v>
      </c>
      <c r="G26" s="29" t="n">
        <v>2.05</v>
      </c>
      <c r="H26" s="30" t="n">
        <v>0.487804878048781</v>
      </c>
      <c r="I26" s="29" t="n">
        <v>2.05</v>
      </c>
      <c r="J26" s="31" t="n">
        <v>105</v>
      </c>
      <c r="K26" s="32" t="s">
        <v>158</v>
      </c>
      <c r="L26" s="33" t="s">
        <v>163</v>
      </c>
    </row>
    <row r="27" customFormat="false" ht="15" hidden="false" customHeight="false" outlineLevel="0" collapsed="false">
      <c r="A27" s="28" t="s">
        <v>164</v>
      </c>
      <c r="B27" s="29" t="n">
        <v>3.1</v>
      </c>
      <c r="C27" s="29" t="n">
        <v>3.1</v>
      </c>
      <c r="D27" s="29" t="n">
        <v>2.1</v>
      </c>
      <c r="E27" s="29" t="n">
        <v>0.525</v>
      </c>
      <c r="F27" s="29" t="n">
        <v>2.625</v>
      </c>
      <c r="G27" s="29" t="n">
        <v>3.625</v>
      </c>
      <c r="H27" s="30" t="n">
        <v>0.275862068965517</v>
      </c>
      <c r="I27" s="29" t="n">
        <v>3.625</v>
      </c>
      <c r="J27" s="31" t="n">
        <v>262.5</v>
      </c>
      <c r="K27" s="32" t="s">
        <v>165</v>
      </c>
      <c r="L27" s="33" t="s">
        <v>163</v>
      </c>
    </row>
    <row r="28" customFormat="false" ht="15" hidden="false" customHeight="false" outlineLevel="0" collapsed="false">
      <c r="A28" s="34" t="s">
        <v>166</v>
      </c>
      <c r="B28" s="35" t="n">
        <v>5.2</v>
      </c>
      <c r="C28" s="35" t="n">
        <v>5.2</v>
      </c>
      <c r="D28" s="35" t="n">
        <v>4.2</v>
      </c>
      <c r="E28" s="35" t="n">
        <v>1.05</v>
      </c>
      <c r="F28" s="35" t="n">
        <v>5.25</v>
      </c>
      <c r="G28" s="35" t="n">
        <v>6.25</v>
      </c>
      <c r="H28" s="36" t="n">
        <v>0.16</v>
      </c>
      <c r="I28" s="35" t="n">
        <v>6.25</v>
      </c>
      <c r="J28" s="37" t="n">
        <v>525</v>
      </c>
      <c r="K28" s="38" t="s">
        <v>167</v>
      </c>
      <c r="L28" s="39" t="s">
        <v>168</v>
      </c>
    </row>
    <row r="29" customFormat="false" ht="15" hidden="false" customHeight="false" outlineLevel="0" collapsed="false">
      <c r="A29" s="40" t="s">
        <v>169</v>
      </c>
      <c r="B29" s="41" t="n">
        <v>7.3</v>
      </c>
      <c r="C29" s="41" t="n">
        <v>7.3</v>
      </c>
      <c r="D29" s="41" t="n">
        <v>6.3</v>
      </c>
      <c r="E29" s="41" t="n">
        <v>1.575</v>
      </c>
      <c r="F29" s="41" t="n">
        <v>7.875</v>
      </c>
      <c r="G29" s="41" t="n">
        <v>8.875</v>
      </c>
      <c r="H29" s="42" t="n">
        <v>0.112676056338028</v>
      </c>
      <c r="I29" s="41" t="n">
        <v>8.875</v>
      </c>
      <c r="J29" s="43" t="n">
        <v>787.5</v>
      </c>
      <c r="K29" s="44" t="s">
        <v>170</v>
      </c>
      <c r="L29" s="45" t="s">
        <v>171</v>
      </c>
    </row>
    <row r="30" customFormat="false" ht="15" hidden="false" customHeight="false" outlineLevel="0" collapsed="false">
      <c r="A30" s="40" t="s">
        <v>172</v>
      </c>
      <c r="B30" s="41" t="n">
        <v>9.4</v>
      </c>
      <c r="C30" s="41" t="n">
        <v>9.4</v>
      </c>
      <c r="D30" s="41" t="n">
        <v>8.4</v>
      </c>
      <c r="E30" s="41" t="n">
        <v>2.1</v>
      </c>
      <c r="F30" s="41" t="n">
        <v>10.5</v>
      </c>
      <c r="G30" s="41" t="n">
        <v>11.5</v>
      </c>
      <c r="H30" s="42" t="n">
        <v>0.0869565217391304</v>
      </c>
      <c r="I30" s="41" t="n">
        <v>11.5</v>
      </c>
      <c r="J30" s="43" t="n">
        <v>1050</v>
      </c>
      <c r="K30" s="44" t="s">
        <v>173</v>
      </c>
      <c r="L30" s="45" t="s">
        <v>171</v>
      </c>
    </row>
    <row r="31" customFormat="false" ht="15" hidden="false" customHeight="false" outlineLevel="0" collapsed="false">
      <c r="A31" s="46" t="s">
        <v>174</v>
      </c>
      <c r="B31" s="47" t="n">
        <v>13.6</v>
      </c>
      <c r="C31" s="47" t="n">
        <v>13.6</v>
      </c>
      <c r="D31" s="47" t="n">
        <v>12.6</v>
      </c>
      <c r="E31" s="47" t="n">
        <v>3.15</v>
      </c>
      <c r="F31" s="47" t="n">
        <v>15.75</v>
      </c>
      <c r="G31" s="47" t="n">
        <v>16.75</v>
      </c>
      <c r="H31" s="48" t="n">
        <v>0.0597014925373134</v>
      </c>
      <c r="I31" s="47" t="n">
        <v>16.75</v>
      </c>
      <c r="J31" s="49" t="n">
        <v>1575</v>
      </c>
      <c r="K31" s="50" t="s">
        <v>175</v>
      </c>
      <c r="L31" s="51" t="s">
        <v>176</v>
      </c>
    </row>
    <row r="32" customFormat="false" ht="15" hidden="false" customHeight="false" outlineLevel="0" collapsed="false">
      <c r="A32" s="46" t="s">
        <v>177</v>
      </c>
      <c r="B32" s="47" t="n">
        <v>22</v>
      </c>
      <c r="C32" s="47" t="n">
        <v>22</v>
      </c>
      <c r="D32" s="47" t="n">
        <v>21</v>
      </c>
      <c r="E32" s="47" t="n">
        <v>5.25</v>
      </c>
      <c r="F32" s="47" t="n">
        <v>26.25</v>
      </c>
      <c r="G32" s="47" t="n">
        <v>27.25</v>
      </c>
      <c r="H32" s="48" t="n">
        <v>0.036697247706422</v>
      </c>
      <c r="I32" s="47" t="n">
        <v>27.25</v>
      </c>
      <c r="J32" s="49" t="n">
        <v>2625</v>
      </c>
      <c r="K32" s="50" t="s">
        <v>178</v>
      </c>
      <c r="L32" s="51" t="s">
        <v>176</v>
      </c>
    </row>
    <row r="33" customFormat="false" ht="15" hidden="false" customHeight="false" outlineLevel="0" collapsed="false">
      <c r="A33" s="52" t="s">
        <v>179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</row>
    <row r="35" customFormat="false" ht="19.5" hidden="false" customHeight="true" outlineLevel="0" collapsed="false">
      <c r="A35" s="21" t="s">
        <v>180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customFormat="false" ht="30" hidden="false" customHeight="true" outlineLevel="0" collapsed="false">
      <c r="A36" s="3" t="s">
        <v>146</v>
      </c>
      <c r="B36" s="3" t="s">
        <v>147</v>
      </c>
      <c r="C36" s="3" t="s">
        <v>148</v>
      </c>
      <c r="D36" s="3" t="s">
        <v>149</v>
      </c>
      <c r="E36" s="3" t="s">
        <v>150</v>
      </c>
      <c r="F36" s="3" t="s">
        <v>151</v>
      </c>
      <c r="G36" s="3" t="s">
        <v>62</v>
      </c>
      <c r="H36" s="3" t="s">
        <v>152</v>
      </c>
      <c r="I36" s="3" t="s">
        <v>153</v>
      </c>
      <c r="J36" s="3" t="s">
        <v>154</v>
      </c>
      <c r="K36" s="3" t="s">
        <v>155</v>
      </c>
      <c r="L36" s="3" t="s">
        <v>156</v>
      </c>
    </row>
    <row r="37" customFormat="false" ht="15" hidden="false" customHeight="false" outlineLevel="0" collapsed="false">
      <c r="A37" s="22" t="s">
        <v>157</v>
      </c>
      <c r="B37" s="23" t="n">
        <v>1.106</v>
      </c>
      <c r="C37" s="23" t="n">
        <v>1.106</v>
      </c>
      <c r="D37" s="23" t="n">
        <v>0.106</v>
      </c>
      <c r="E37" s="23" t="n">
        <v>0.0265</v>
      </c>
      <c r="F37" s="23" t="n">
        <v>0.1325</v>
      </c>
      <c r="G37" s="23" t="n">
        <v>1.1325</v>
      </c>
      <c r="H37" s="24" t="n">
        <v>0.883002207505519</v>
      </c>
      <c r="I37" s="23" t="n">
        <v>1.1325</v>
      </c>
      <c r="J37" s="25" t="n">
        <v>13.25</v>
      </c>
      <c r="K37" s="26" t="s">
        <v>158</v>
      </c>
      <c r="L37" s="27" t="s">
        <v>159</v>
      </c>
    </row>
    <row r="38" customFormat="false" ht="15" hidden="false" customHeight="false" outlineLevel="0" collapsed="false">
      <c r="A38" s="22" t="s">
        <v>160</v>
      </c>
      <c r="B38" s="23" t="n">
        <v>1.53</v>
      </c>
      <c r="C38" s="23" t="n">
        <v>1.53</v>
      </c>
      <c r="D38" s="23" t="n">
        <v>0.53</v>
      </c>
      <c r="E38" s="23" t="n">
        <v>0.1325</v>
      </c>
      <c r="F38" s="23" t="n">
        <v>0.6625</v>
      </c>
      <c r="G38" s="23" t="n">
        <v>1.6625</v>
      </c>
      <c r="H38" s="24" t="n">
        <v>0.601503759398496</v>
      </c>
      <c r="I38" s="23" t="n">
        <v>1.6625</v>
      </c>
      <c r="J38" s="25" t="n">
        <v>66.25</v>
      </c>
      <c r="K38" s="26" t="s">
        <v>158</v>
      </c>
      <c r="L38" s="27" t="s">
        <v>159</v>
      </c>
    </row>
    <row r="39" customFormat="false" ht="15" hidden="false" customHeight="false" outlineLevel="0" collapsed="false">
      <c r="A39" s="22" t="s">
        <v>161</v>
      </c>
      <c r="B39" s="23" t="n">
        <v>2.06</v>
      </c>
      <c r="C39" s="23" t="n">
        <v>2.06</v>
      </c>
      <c r="D39" s="23" t="n">
        <v>1.06</v>
      </c>
      <c r="E39" s="23" t="n">
        <v>0.265</v>
      </c>
      <c r="F39" s="23" t="n">
        <v>1.325</v>
      </c>
      <c r="G39" s="23" t="n">
        <v>2.325</v>
      </c>
      <c r="H39" s="24" t="n">
        <v>0.43010752688172</v>
      </c>
      <c r="I39" s="23" t="n">
        <v>2.325</v>
      </c>
      <c r="J39" s="25" t="n">
        <v>132.5</v>
      </c>
      <c r="K39" s="26" t="s">
        <v>158</v>
      </c>
      <c r="L39" s="27" t="s">
        <v>159</v>
      </c>
    </row>
    <row r="40" customFormat="false" ht="15" hidden="false" customHeight="false" outlineLevel="0" collapsed="false">
      <c r="A40" s="28" t="s">
        <v>162</v>
      </c>
      <c r="B40" s="29" t="n">
        <v>3.12</v>
      </c>
      <c r="C40" s="29" t="n">
        <v>3.12</v>
      </c>
      <c r="D40" s="29" t="n">
        <v>2.12</v>
      </c>
      <c r="E40" s="29" t="n">
        <v>0.53</v>
      </c>
      <c r="F40" s="29" t="n">
        <v>2.65</v>
      </c>
      <c r="G40" s="29" t="n">
        <v>3.65</v>
      </c>
      <c r="H40" s="30" t="n">
        <v>0.273972602739726</v>
      </c>
      <c r="I40" s="29" t="n">
        <v>3.65</v>
      </c>
      <c r="J40" s="31" t="n">
        <v>265</v>
      </c>
      <c r="K40" s="32" t="s">
        <v>165</v>
      </c>
      <c r="L40" s="33" t="s">
        <v>163</v>
      </c>
    </row>
    <row r="41" customFormat="false" ht="15" hidden="false" customHeight="false" outlineLevel="0" collapsed="false">
      <c r="A41" s="28" t="s">
        <v>164</v>
      </c>
      <c r="B41" s="29" t="n">
        <v>6.3</v>
      </c>
      <c r="C41" s="29" t="n">
        <v>6.3</v>
      </c>
      <c r="D41" s="29" t="n">
        <v>5.3</v>
      </c>
      <c r="E41" s="29" t="n">
        <v>1.325</v>
      </c>
      <c r="F41" s="29" t="n">
        <v>6.625</v>
      </c>
      <c r="G41" s="29" t="n">
        <v>7.625</v>
      </c>
      <c r="H41" s="30" t="n">
        <v>0.131147540983607</v>
      </c>
      <c r="I41" s="29" t="n">
        <v>7.625</v>
      </c>
      <c r="J41" s="31" t="n">
        <v>662.5</v>
      </c>
      <c r="K41" s="32" t="s">
        <v>181</v>
      </c>
      <c r="L41" s="33" t="s">
        <v>163</v>
      </c>
    </row>
    <row r="42" customFormat="false" ht="15" hidden="false" customHeight="false" outlineLevel="0" collapsed="false">
      <c r="A42" s="34" t="s">
        <v>166</v>
      </c>
      <c r="B42" s="35" t="n">
        <v>11.6</v>
      </c>
      <c r="C42" s="35" t="n">
        <v>11.6</v>
      </c>
      <c r="D42" s="35" t="n">
        <v>10.6</v>
      </c>
      <c r="E42" s="35" t="n">
        <v>2.65</v>
      </c>
      <c r="F42" s="35" t="n">
        <v>13.25</v>
      </c>
      <c r="G42" s="35" t="n">
        <v>14.25</v>
      </c>
      <c r="H42" s="36" t="n">
        <v>0.0701754385964912</v>
      </c>
      <c r="I42" s="35" t="n">
        <v>14.25</v>
      </c>
      <c r="J42" s="37" t="n">
        <v>1325</v>
      </c>
      <c r="K42" s="38" t="s">
        <v>182</v>
      </c>
      <c r="L42" s="39" t="s">
        <v>168</v>
      </c>
    </row>
    <row r="43" customFormat="false" ht="15" hidden="false" customHeight="false" outlineLevel="0" collapsed="false">
      <c r="A43" s="40" t="s">
        <v>169</v>
      </c>
      <c r="B43" s="41" t="n">
        <v>16.9</v>
      </c>
      <c r="C43" s="41" t="n">
        <v>16.9</v>
      </c>
      <c r="D43" s="41" t="n">
        <v>15.9</v>
      </c>
      <c r="E43" s="41" t="n">
        <v>3.975</v>
      </c>
      <c r="F43" s="41" t="n">
        <v>19.875</v>
      </c>
      <c r="G43" s="41" t="n">
        <v>20.875</v>
      </c>
      <c r="H43" s="42" t="n">
        <v>0.0479041916167665</v>
      </c>
      <c r="I43" s="41" t="n">
        <v>20.875</v>
      </c>
      <c r="J43" s="43" t="n">
        <v>1987.5</v>
      </c>
      <c r="K43" s="44" t="s">
        <v>183</v>
      </c>
      <c r="L43" s="45" t="s">
        <v>171</v>
      </c>
    </row>
    <row r="44" customFormat="false" ht="15" hidden="false" customHeight="false" outlineLevel="0" collapsed="false">
      <c r="A44" s="40" t="s">
        <v>172</v>
      </c>
      <c r="B44" s="41" t="n">
        <v>22.2</v>
      </c>
      <c r="C44" s="41" t="n">
        <v>22.2</v>
      </c>
      <c r="D44" s="41" t="n">
        <v>21.2</v>
      </c>
      <c r="E44" s="41" t="n">
        <v>5.3</v>
      </c>
      <c r="F44" s="41" t="n">
        <v>26.5</v>
      </c>
      <c r="G44" s="41" t="n">
        <v>27.5</v>
      </c>
      <c r="H44" s="42" t="n">
        <v>0.0363636363636364</v>
      </c>
      <c r="I44" s="41" t="n">
        <v>27.5</v>
      </c>
      <c r="J44" s="43" t="n">
        <v>2650</v>
      </c>
      <c r="K44" s="44" t="s">
        <v>178</v>
      </c>
      <c r="L44" s="45" t="s">
        <v>171</v>
      </c>
    </row>
    <row r="45" customFormat="false" ht="15" hidden="false" customHeight="false" outlineLevel="0" collapsed="false">
      <c r="A45" s="46" t="s">
        <v>174</v>
      </c>
      <c r="B45" s="47" t="n">
        <v>32.8</v>
      </c>
      <c r="C45" s="47" t="n">
        <v>32.8</v>
      </c>
      <c r="D45" s="47" t="n">
        <v>31.8</v>
      </c>
      <c r="E45" s="47" t="n">
        <v>7.95</v>
      </c>
      <c r="F45" s="47" t="n">
        <v>39.75</v>
      </c>
      <c r="G45" s="47" t="n">
        <v>40.75</v>
      </c>
      <c r="H45" s="48" t="n">
        <v>0.0245398773006135</v>
      </c>
      <c r="I45" s="47" t="n">
        <v>40.75</v>
      </c>
      <c r="J45" s="49" t="n">
        <v>3975</v>
      </c>
      <c r="K45" s="50" t="s">
        <v>178</v>
      </c>
      <c r="L45" s="51" t="s">
        <v>176</v>
      </c>
    </row>
    <row r="46" customFormat="false" ht="15" hidden="false" customHeight="false" outlineLevel="0" collapsed="false">
      <c r="A46" s="46" t="s">
        <v>177</v>
      </c>
      <c r="B46" s="47" t="n">
        <v>54</v>
      </c>
      <c r="C46" s="47" t="n">
        <v>54</v>
      </c>
      <c r="D46" s="47" t="n">
        <v>53</v>
      </c>
      <c r="E46" s="47" t="n">
        <v>13.25</v>
      </c>
      <c r="F46" s="47" t="n">
        <v>66.25</v>
      </c>
      <c r="G46" s="47" t="n">
        <v>67.25</v>
      </c>
      <c r="H46" s="48" t="n">
        <v>0.0148698884758364</v>
      </c>
      <c r="I46" s="47" t="n">
        <v>67.25</v>
      </c>
      <c r="J46" s="49" t="n">
        <v>6625</v>
      </c>
      <c r="K46" s="50" t="s">
        <v>178</v>
      </c>
      <c r="L46" s="51" t="s">
        <v>176</v>
      </c>
    </row>
    <row r="47" customFormat="false" ht="15" hidden="false" customHeight="false" outlineLevel="0" collapsed="false">
      <c r="A47" s="52" t="s">
        <v>179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</row>
    <row r="49" customFormat="false" ht="19.5" hidden="false" customHeight="true" outlineLevel="0" collapsed="false">
      <c r="A49" s="21" t="s">
        <v>184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customFormat="false" ht="30" hidden="false" customHeight="true" outlineLevel="0" collapsed="false">
      <c r="A50" s="3" t="s">
        <v>146</v>
      </c>
      <c r="B50" s="3" t="s">
        <v>147</v>
      </c>
      <c r="C50" s="3" t="s">
        <v>148</v>
      </c>
      <c r="D50" s="3" t="s">
        <v>149</v>
      </c>
      <c r="E50" s="3" t="s">
        <v>150</v>
      </c>
      <c r="F50" s="3" t="s">
        <v>151</v>
      </c>
      <c r="G50" s="3" t="s">
        <v>62</v>
      </c>
      <c r="H50" s="3" t="s">
        <v>152</v>
      </c>
      <c r="I50" s="3" t="s">
        <v>153</v>
      </c>
      <c r="J50" s="3" t="s">
        <v>154</v>
      </c>
      <c r="K50" s="3" t="s">
        <v>155</v>
      </c>
      <c r="L50" s="3" t="s">
        <v>156</v>
      </c>
    </row>
    <row r="51" customFormat="false" ht="15" hidden="false" customHeight="false" outlineLevel="0" collapsed="false">
      <c r="A51" s="22" t="s">
        <v>157</v>
      </c>
      <c r="B51" s="23" t="n">
        <v>1.212</v>
      </c>
      <c r="C51" s="23" t="n">
        <v>1.212</v>
      </c>
      <c r="D51" s="23" t="n">
        <v>0.212</v>
      </c>
      <c r="E51" s="23" t="n">
        <v>0.053</v>
      </c>
      <c r="F51" s="23" t="n">
        <v>0.265</v>
      </c>
      <c r="G51" s="23" t="n">
        <v>1.265</v>
      </c>
      <c r="H51" s="24" t="n">
        <v>0.790513833992095</v>
      </c>
      <c r="I51" s="23" t="n">
        <v>1.265</v>
      </c>
      <c r="J51" s="25" t="n">
        <v>26.5</v>
      </c>
      <c r="K51" s="26" t="s">
        <v>158</v>
      </c>
      <c r="L51" s="27" t="s">
        <v>159</v>
      </c>
    </row>
    <row r="52" customFormat="false" ht="15" hidden="false" customHeight="false" outlineLevel="0" collapsed="false">
      <c r="A52" s="22" t="s">
        <v>160</v>
      </c>
      <c r="B52" s="23" t="n">
        <v>2.06</v>
      </c>
      <c r="C52" s="23" t="n">
        <v>2.06</v>
      </c>
      <c r="D52" s="23" t="n">
        <v>1.06</v>
      </c>
      <c r="E52" s="23" t="n">
        <v>0.265</v>
      </c>
      <c r="F52" s="23" t="n">
        <v>1.325</v>
      </c>
      <c r="G52" s="23" t="n">
        <v>2.325</v>
      </c>
      <c r="H52" s="24" t="n">
        <v>0.43010752688172</v>
      </c>
      <c r="I52" s="23" t="n">
        <v>2.325</v>
      </c>
      <c r="J52" s="25" t="n">
        <v>132.5</v>
      </c>
      <c r="K52" s="26" t="s">
        <v>158</v>
      </c>
      <c r="L52" s="27" t="s">
        <v>159</v>
      </c>
    </row>
    <row r="53" customFormat="false" ht="15" hidden="false" customHeight="false" outlineLevel="0" collapsed="false">
      <c r="A53" s="22" t="s">
        <v>161</v>
      </c>
      <c r="B53" s="23" t="n">
        <v>3.12</v>
      </c>
      <c r="C53" s="23" t="n">
        <v>3.12</v>
      </c>
      <c r="D53" s="23" t="n">
        <v>2.12</v>
      </c>
      <c r="E53" s="23" t="n">
        <v>0.53</v>
      </c>
      <c r="F53" s="23" t="n">
        <v>2.65</v>
      </c>
      <c r="G53" s="23" t="n">
        <v>3.65</v>
      </c>
      <c r="H53" s="24" t="n">
        <v>0.273972602739726</v>
      </c>
      <c r="I53" s="23" t="n">
        <v>3.65</v>
      </c>
      <c r="J53" s="25" t="n">
        <v>265</v>
      </c>
      <c r="K53" s="26" t="s">
        <v>165</v>
      </c>
      <c r="L53" s="27" t="s">
        <v>159</v>
      </c>
    </row>
    <row r="54" customFormat="false" ht="15" hidden="false" customHeight="false" outlineLevel="0" collapsed="false">
      <c r="A54" s="28" t="s">
        <v>162</v>
      </c>
      <c r="B54" s="29" t="n">
        <v>5.24</v>
      </c>
      <c r="C54" s="29" t="n">
        <v>5.24</v>
      </c>
      <c r="D54" s="29" t="n">
        <v>4.24</v>
      </c>
      <c r="E54" s="29" t="n">
        <v>1.06</v>
      </c>
      <c r="F54" s="29" t="n">
        <v>5.3</v>
      </c>
      <c r="G54" s="29" t="n">
        <v>6.3</v>
      </c>
      <c r="H54" s="30" t="n">
        <v>0.158730158730159</v>
      </c>
      <c r="I54" s="29" t="n">
        <v>6.3</v>
      </c>
      <c r="J54" s="31" t="n">
        <v>530</v>
      </c>
      <c r="K54" s="32" t="s">
        <v>167</v>
      </c>
      <c r="L54" s="33" t="s">
        <v>163</v>
      </c>
    </row>
    <row r="55" customFormat="false" ht="15" hidden="false" customHeight="false" outlineLevel="0" collapsed="false">
      <c r="A55" s="28" t="s">
        <v>164</v>
      </c>
      <c r="B55" s="29" t="n">
        <v>11.6</v>
      </c>
      <c r="C55" s="29" t="n">
        <v>11.6</v>
      </c>
      <c r="D55" s="29" t="n">
        <v>10.6</v>
      </c>
      <c r="E55" s="29" t="n">
        <v>2.65</v>
      </c>
      <c r="F55" s="29" t="n">
        <v>13.25</v>
      </c>
      <c r="G55" s="29" t="n">
        <v>14.25</v>
      </c>
      <c r="H55" s="30" t="n">
        <v>0.0701754385964912</v>
      </c>
      <c r="I55" s="29" t="n">
        <v>14.25</v>
      </c>
      <c r="J55" s="31" t="n">
        <v>1325</v>
      </c>
      <c r="K55" s="32" t="s">
        <v>182</v>
      </c>
      <c r="L55" s="33" t="s">
        <v>163</v>
      </c>
    </row>
    <row r="56" customFormat="false" ht="15" hidden="false" customHeight="false" outlineLevel="0" collapsed="false">
      <c r="A56" s="34" t="s">
        <v>166</v>
      </c>
      <c r="B56" s="35" t="n">
        <v>22.2</v>
      </c>
      <c r="C56" s="35" t="n">
        <v>22.2</v>
      </c>
      <c r="D56" s="35" t="n">
        <v>21.2</v>
      </c>
      <c r="E56" s="35" t="n">
        <v>5.3</v>
      </c>
      <c r="F56" s="35" t="n">
        <v>26.5</v>
      </c>
      <c r="G56" s="35" t="n">
        <v>27.5</v>
      </c>
      <c r="H56" s="36" t="n">
        <v>0.0363636363636364</v>
      </c>
      <c r="I56" s="35" t="n">
        <v>27.5</v>
      </c>
      <c r="J56" s="37" t="n">
        <v>2650</v>
      </c>
      <c r="K56" s="38" t="s">
        <v>178</v>
      </c>
      <c r="L56" s="39" t="s">
        <v>168</v>
      </c>
    </row>
    <row r="57" customFormat="false" ht="15" hidden="false" customHeight="false" outlineLevel="0" collapsed="false">
      <c r="A57" s="40" t="s">
        <v>169</v>
      </c>
      <c r="B57" s="41" t="n">
        <v>32.8</v>
      </c>
      <c r="C57" s="41" t="n">
        <v>32.8</v>
      </c>
      <c r="D57" s="41" t="n">
        <v>31.8</v>
      </c>
      <c r="E57" s="41" t="n">
        <v>7.95</v>
      </c>
      <c r="F57" s="41" t="n">
        <v>39.75</v>
      </c>
      <c r="G57" s="41" t="n">
        <v>40.75</v>
      </c>
      <c r="H57" s="42" t="n">
        <v>0.0245398773006135</v>
      </c>
      <c r="I57" s="41" t="n">
        <v>40.75</v>
      </c>
      <c r="J57" s="43" t="n">
        <v>3975</v>
      </c>
      <c r="K57" s="44" t="s">
        <v>178</v>
      </c>
      <c r="L57" s="45" t="s">
        <v>171</v>
      </c>
    </row>
    <row r="58" customFormat="false" ht="15" hidden="false" customHeight="false" outlineLevel="0" collapsed="false">
      <c r="A58" s="40" t="s">
        <v>172</v>
      </c>
      <c r="B58" s="41" t="n">
        <v>43.4</v>
      </c>
      <c r="C58" s="41" t="n">
        <v>43.4</v>
      </c>
      <c r="D58" s="41" t="n">
        <v>42.4</v>
      </c>
      <c r="E58" s="41" t="n">
        <v>10.6</v>
      </c>
      <c r="F58" s="41" t="n">
        <v>53</v>
      </c>
      <c r="G58" s="41" t="n">
        <v>54</v>
      </c>
      <c r="H58" s="42" t="n">
        <v>0.0185185185185185</v>
      </c>
      <c r="I58" s="41" t="n">
        <v>54</v>
      </c>
      <c r="J58" s="43" t="n">
        <v>5300</v>
      </c>
      <c r="K58" s="44" t="s">
        <v>178</v>
      </c>
      <c r="L58" s="45" t="s">
        <v>171</v>
      </c>
    </row>
    <row r="59" customFormat="false" ht="15" hidden="false" customHeight="false" outlineLevel="0" collapsed="false">
      <c r="A59" s="46" t="s">
        <v>174</v>
      </c>
      <c r="B59" s="47" t="n">
        <v>64.6</v>
      </c>
      <c r="C59" s="47" t="n">
        <v>64.6</v>
      </c>
      <c r="D59" s="47" t="n">
        <v>63.6</v>
      </c>
      <c r="E59" s="47" t="n">
        <v>15.9</v>
      </c>
      <c r="F59" s="47" t="n">
        <v>79.5</v>
      </c>
      <c r="G59" s="47" t="n">
        <v>80.5</v>
      </c>
      <c r="H59" s="48" t="n">
        <v>0.0124223602484472</v>
      </c>
      <c r="I59" s="47" t="n">
        <v>80.5</v>
      </c>
      <c r="J59" s="49" t="n">
        <v>7950</v>
      </c>
      <c r="K59" s="50" t="s">
        <v>178</v>
      </c>
      <c r="L59" s="51" t="s">
        <v>176</v>
      </c>
    </row>
    <row r="60" customFormat="false" ht="15" hidden="false" customHeight="false" outlineLevel="0" collapsed="false">
      <c r="A60" s="46" t="s">
        <v>177</v>
      </c>
      <c r="B60" s="47" t="n">
        <v>107</v>
      </c>
      <c r="C60" s="47" t="n">
        <v>107</v>
      </c>
      <c r="D60" s="47" t="n">
        <v>106</v>
      </c>
      <c r="E60" s="47" t="n">
        <v>26.5</v>
      </c>
      <c r="F60" s="47" t="n">
        <v>132.5</v>
      </c>
      <c r="G60" s="47" t="n">
        <v>133.5</v>
      </c>
      <c r="H60" s="48" t="n">
        <v>0.00749063670411985</v>
      </c>
      <c r="I60" s="47" t="n">
        <v>133.5</v>
      </c>
      <c r="J60" s="49" t="n">
        <v>13250</v>
      </c>
      <c r="K60" s="50" t="s">
        <v>178</v>
      </c>
      <c r="L60" s="51" t="s">
        <v>176</v>
      </c>
    </row>
    <row r="61" customFormat="false" ht="15" hidden="false" customHeight="false" outlineLevel="0" collapsed="false">
      <c r="A61" s="52" t="s">
        <v>179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</row>
    <row r="63" customFormat="false" ht="19.5" hidden="false" customHeight="true" outlineLevel="0" collapsed="false">
      <c r="A63" s="21" t="s">
        <v>185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customFormat="false" ht="30" hidden="false" customHeight="true" outlineLevel="0" collapsed="false">
      <c r="A64" s="3" t="s">
        <v>146</v>
      </c>
      <c r="B64" s="3" t="s">
        <v>147</v>
      </c>
      <c r="C64" s="3" t="s">
        <v>148</v>
      </c>
      <c r="D64" s="3" t="s">
        <v>149</v>
      </c>
      <c r="E64" s="3" t="s">
        <v>150</v>
      </c>
      <c r="F64" s="3" t="s">
        <v>151</v>
      </c>
      <c r="G64" s="3" t="s">
        <v>62</v>
      </c>
      <c r="H64" s="3" t="s">
        <v>152</v>
      </c>
      <c r="I64" s="3" t="s">
        <v>153</v>
      </c>
      <c r="J64" s="3" t="s">
        <v>154</v>
      </c>
      <c r="K64" s="3" t="s">
        <v>155</v>
      </c>
      <c r="L64" s="3" t="s">
        <v>156</v>
      </c>
    </row>
    <row r="65" customFormat="false" ht="15" hidden="false" customHeight="false" outlineLevel="0" collapsed="false">
      <c r="A65" s="22" t="s">
        <v>157</v>
      </c>
      <c r="B65" s="23" t="n">
        <v>1.106</v>
      </c>
      <c r="C65" s="23" t="n">
        <v>1.106</v>
      </c>
      <c r="D65" s="23" t="n">
        <v>0.106</v>
      </c>
      <c r="E65" s="23" t="n">
        <v>0.0265</v>
      </c>
      <c r="F65" s="23" t="n">
        <v>0.1325</v>
      </c>
      <c r="G65" s="23" t="n">
        <v>1.1325</v>
      </c>
      <c r="H65" s="24" t="n">
        <v>0.883002207505519</v>
      </c>
      <c r="I65" s="23" t="n">
        <v>1.1325</v>
      </c>
      <c r="J65" s="25" t="n">
        <v>13.25</v>
      </c>
      <c r="K65" s="26" t="s">
        <v>158</v>
      </c>
      <c r="L65" s="27" t="s">
        <v>159</v>
      </c>
    </row>
    <row r="66" customFormat="false" ht="15" hidden="false" customHeight="false" outlineLevel="0" collapsed="false">
      <c r="A66" s="22" t="s">
        <v>160</v>
      </c>
      <c r="B66" s="23" t="n">
        <v>1.53</v>
      </c>
      <c r="C66" s="23" t="n">
        <v>1.53</v>
      </c>
      <c r="D66" s="23" t="n">
        <v>0.53</v>
      </c>
      <c r="E66" s="23" t="n">
        <v>0.1325</v>
      </c>
      <c r="F66" s="23" t="n">
        <v>0.6625</v>
      </c>
      <c r="G66" s="23" t="n">
        <v>1.6625</v>
      </c>
      <c r="H66" s="24" t="n">
        <v>0.601503759398496</v>
      </c>
      <c r="I66" s="23" t="n">
        <v>1.6625</v>
      </c>
      <c r="J66" s="25" t="n">
        <v>66.25</v>
      </c>
      <c r="K66" s="26" t="s">
        <v>158</v>
      </c>
      <c r="L66" s="27" t="s">
        <v>159</v>
      </c>
    </row>
    <row r="67" customFormat="false" ht="15" hidden="false" customHeight="false" outlineLevel="0" collapsed="false">
      <c r="A67" s="22" t="s">
        <v>161</v>
      </c>
      <c r="B67" s="23" t="n">
        <v>2.06</v>
      </c>
      <c r="C67" s="23" t="n">
        <v>2.06</v>
      </c>
      <c r="D67" s="23" t="n">
        <v>1.06</v>
      </c>
      <c r="E67" s="23" t="n">
        <v>0.265</v>
      </c>
      <c r="F67" s="23" t="n">
        <v>1.325</v>
      </c>
      <c r="G67" s="23" t="n">
        <v>2.325</v>
      </c>
      <c r="H67" s="24" t="n">
        <v>0.43010752688172</v>
      </c>
      <c r="I67" s="23" t="n">
        <v>2.325</v>
      </c>
      <c r="J67" s="25" t="n">
        <v>132.5</v>
      </c>
      <c r="K67" s="26" t="s">
        <v>158</v>
      </c>
      <c r="L67" s="27" t="s">
        <v>159</v>
      </c>
    </row>
    <row r="68" customFormat="false" ht="15" hidden="false" customHeight="false" outlineLevel="0" collapsed="false">
      <c r="A68" s="28" t="s">
        <v>162</v>
      </c>
      <c r="B68" s="29" t="n">
        <v>3.12</v>
      </c>
      <c r="C68" s="29" t="n">
        <v>3.12</v>
      </c>
      <c r="D68" s="29" t="n">
        <v>2.12</v>
      </c>
      <c r="E68" s="29" t="n">
        <v>0.53</v>
      </c>
      <c r="F68" s="29" t="n">
        <v>2.65</v>
      </c>
      <c r="G68" s="29" t="n">
        <v>3.65</v>
      </c>
      <c r="H68" s="30" t="n">
        <v>0.273972602739726</v>
      </c>
      <c r="I68" s="29" t="n">
        <v>3.65</v>
      </c>
      <c r="J68" s="31" t="n">
        <v>265</v>
      </c>
      <c r="K68" s="32" t="s">
        <v>165</v>
      </c>
      <c r="L68" s="33" t="s">
        <v>163</v>
      </c>
    </row>
    <row r="69" customFormat="false" ht="15" hidden="false" customHeight="false" outlineLevel="0" collapsed="false">
      <c r="A69" s="28" t="s">
        <v>164</v>
      </c>
      <c r="B69" s="29" t="n">
        <v>6.3</v>
      </c>
      <c r="C69" s="29" t="n">
        <v>6.3</v>
      </c>
      <c r="D69" s="29" t="n">
        <v>5.3</v>
      </c>
      <c r="E69" s="29" t="n">
        <v>1.325</v>
      </c>
      <c r="F69" s="29" t="n">
        <v>6.625</v>
      </c>
      <c r="G69" s="29" t="n">
        <v>7.625</v>
      </c>
      <c r="H69" s="30" t="n">
        <v>0.131147540983607</v>
      </c>
      <c r="I69" s="29" t="n">
        <v>7.625</v>
      </c>
      <c r="J69" s="31" t="n">
        <v>662.5</v>
      </c>
      <c r="K69" s="32" t="s">
        <v>181</v>
      </c>
      <c r="L69" s="33" t="s">
        <v>163</v>
      </c>
    </row>
    <row r="70" customFormat="false" ht="15" hidden="false" customHeight="false" outlineLevel="0" collapsed="false">
      <c r="A70" s="34" t="s">
        <v>166</v>
      </c>
      <c r="B70" s="35" t="n">
        <v>11.6</v>
      </c>
      <c r="C70" s="35" t="n">
        <v>11.6</v>
      </c>
      <c r="D70" s="35" t="n">
        <v>10.6</v>
      </c>
      <c r="E70" s="35" t="n">
        <v>2.65</v>
      </c>
      <c r="F70" s="35" t="n">
        <v>13.25</v>
      </c>
      <c r="G70" s="35" t="n">
        <v>14.25</v>
      </c>
      <c r="H70" s="36" t="n">
        <v>0.0701754385964912</v>
      </c>
      <c r="I70" s="35" t="n">
        <v>14.25</v>
      </c>
      <c r="J70" s="37" t="n">
        <v>1325</v>
      </c>
      <c r="K70" s="38" t="s">
        <v>182</v>
      </c>
      <c r="L70" s="39" t="s">
        <v>168</v>
      </c>
    </row>
    <row r="71" customFormat="false" ht="15" hidden="false" customHeight="false" outlineLevel="0" collapsed="false">
      <c r="A71" s="40" t="s">
        <v>169</v>
      </c>
      <c r="B71" s="41" t="n">
        <v>16.9</v>
      </c>
      <c r="C71" s="41" t="n">
        <v>16.9</v>
      </c>
      <c r="D71" s="41" t="n">
        <v>15.9</v>
      </c>
      <c r="E71" s="41" t="n">
        <v>3.975</v>
      </c>
      <c r="F71" s="41" t="n">
        <v>19.875</v>
      </c>
      <c r="G71" s="41" t="n">
        <v>20.875</v>
      </c>
      <c r="H71" s="42" t="n">
        <v>0.0479041916167665</v>
      </c>
      <c r="I71" s="41" t="n">
        <v>20.875</v>
      </c>
      <c r="J71" s="43" t="n">
        <v>1987.5</v>
      </c>
      <c r="K71" s="44" t="s">
        <v>183</v>
      </c>
      <c r="L71" s="45" t="s">
        <v>171</v>
      </c>
    </row>
    <row r="72" customFormat="false" ht="15" hidden="false" customHeight="false" outlineLevel="0" collapsed="false">
      <c r="A72" s="40" t="s">
        <v>172</v>
      </c>
      <c r="B72" s="41" t="n">
        <v>22.2</v>
      </c>
      <c r="C72" s="41" t="n">
        <v>22.2</v>
      </c>
      <c r="D72" s="41" t="n">
        <v>21.2</v>
      </c>
      <c r="E72" s="41" t="n">
        <v>5.3</v>
      </c>
      <c r="F72" s="41" t="n">
        <v>26.5</v>
      </c>
      <c r="G72" s="41" t="n">
        <v>27.5</v>
      </c>
      <c r="H72" s="42" t="n">
        <v>0.0363636363636364</v>
      </c>
      <c r="I72" s="41" t="n">
        <v>27.5</v>
      </c>
      <c r="J72" s="43" t="n">
        <v>2650</v>
      </c>
      <c r="K72" s="44" t="s">
        <v>178</v>
      </c>
      <c r="L72" s="45" t="s">
        <v>171</v>
      </c>
    </row>
    <row r="73" customFormat="false" ht="15" hidden="false" customHeight="false" outlineLevel="0" collapsed="false">
      <c r="A73" s="46" t="s">
        <v>174</v>
      </c>
      <c r="B73" s="47" t="n">
        <v>32.8</v>
      </c>
      <c r="C73" s="47" t="n">
        <v>32.8</v>
      </c>
      <c r="D73" s="47" t="n">
        <v>31.8</v>
      </c>
      <c r="E73" s="47" t="n">
        <v>7.95</v>
      </c>
      <c r="F73" s="47" t="n">
        <v>39.75</v>
      </c>
      <c r="G73" s="47" t="n">
        <v>40.75</v>
      </c>
      <c r="H73" s="48" t="n">
        <v>0.0245398773006135</v>
      </c>
      <c r="I73" s="47" t="n">
        <v>40.75</v>
      </c>
      <c r="J73" s="49" t="n">
        <v>3975</v>
      </c>
      <c r="K73" s="50" t="s">
        <v>178</v>
      </c>
      <c r="L73" s="51" t="s">
        <v>176</v>
      </c>
    </row>
    <row r="74" customFormat="false" ht="15" hidden="false" customHeight="false" outlineLevel="0" collapsed="false">
      <c r="A74" s="46" t="s">
        <v>177</v>
      </c>
      <c r="B74" s="47" t="n">
        <v>54</v>
      </c>
      <c r="C74" s="47" t="n">
        <v>54</v>
      </c>
      <c r="D74" s="47" t="n">
        <v>53</v>
      </c>
      <c r="E74" s="47" t="n">
        <v>13.25</v>
      </c>
      <c r="F74" s="47" t="n">
        <v>66.25</v>
      </c>
      <c r="G74" s="47" t="n">
        <v>67.25</v>
      </c>
      <c r="H74" s="48" t="n">
        <v>0.0148698884758364</v>
      </c>
      <c r="I74" s="47" t="n">
        <v>67.25</v>
      </c>
      <c r="J74" s="49" t="n">
        <v>6625</v>
      </c>
      <c r="K74" s="50" t="s">
        <v>178</v>
      </c>
      <c r="L74" s="51" t="s">
        <v>176</v>
      </c>
    </row>
    <row r="75" customFormat="false" ht="15" hidden="false" customHeight="false" outlineLevel="0" collapsed="false">
      <c r="A75" s="52" t="s">
        <v>179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</row>
  </sheetData>
  <mergeCells count="25">
    <mergeCell ref="A1:M1"/>
    <mergeCell ref="A3:E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4:M14"/>
    <mergeCell ref="A15:M15"/>
    <mergeCell ref="A16:M16"/>
    <mergeCell ref="A17:M17"/>
    <mergeCell ref="A18:M18"/>
    <mergeCell ref="A19:M19"/>
    <mergeCell ref="A21:M21"/>
    <mergeCell ref="A33:M33"/>
    <mergeCell ref="A35:M35"/>
    <mergeCell ref="A47:M47"/>
    <mergeCell ref="A49:M49"/>
    <mergeCell ref="A61:M61"/>
    <mergeCell ref="A63:M63"/>
    <mergeCell ref="A75:M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9" min="6" style="0" width="18"/>
    <col collapsed="false" customWidth="true" hidden="false" outlineLevel="0" max="10" min="10" style="0" width="14"/>
    <col collapsed="false" customWidth="true" hidden="false" outlineLevel="0" max="13" min="11" style="0" width="18"/>
    <col collapsed="false" customWidth="true" hidden="false" outlineLevel="0" max="14" min="14" style="0" width="26"/>
    <col collapsed="false" customWidth="true" hidden="false" outlineLevel="0" max="18" min="15" style="0" width="14"/>
    <col collapsed="false" customWidth="true" hidden="false" outlineLevel="0" max="19" min="19" style="0" width="16"/>
    <col collapsed="false" customWidth="true" hidden="false" outlineLevel="0" max="20" min="20" style="0" width="28"/>
  </cols>
  <sheetData>
    <row r="1" customFormat="false" ht="24" hidden="false" customHeight="true" outlineLevel="0" collapsed="false">
      <c r="A1" s="16" t="s">
        <v>186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customFormat="false" ht="15" hidden="false" customHeight="false" outlineLevel="0" collapsed="false">
      <c r="A3" s="7" t="s">
        <v>187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15" hidden="false" customHeight="true" outlineLevel="0" collapsed="false">
      <c r="A4" s="3" t="s">
        <v>188</v>
      </c>
      <c r="B4" s="3" t="s">
        <v>7</v>
      </c>
      <c r="C4" s="3" t="s">
        <v>189</v>
      </c>
      <c r="D4" s="3" t="s">
        <v>190</v>
      </c>
      <c r="E4" s="3" t="s">
        <v>191</v>
      </c>
      <c r="F4" s="3" t="s">
        <v>192</v>
      </c>
      <c r="G4" s="3" t="s">
        <v>193</v>
      </c>
      <c r="I4" s="3" t="s">
        <v>194</v>
      </c>
    </row>
    <row r="5" customFormat="false" ht="15" hidden="false" customHeight="false" outlineLevel="0" collapsed="false">
      <c r="A5" s="3" t="s">
        <v>188</v>
      </c>
      <c r="B5" s="3" t="s">
        <v>7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</row>
    <row r="6" customFormat="false" ht="57.45" hidden="false" customHeight="false" outlineLevel="0" collapsed="false">
      <c r="A6" s="53" t="s">
        <v>195</v>
      </c>
      <c r="B6" s="54" t="s">
        <v>196</v>
      </c>
      <c r="C6" s="54" t="s">
        <v>197</v>
      </c>
      <c r="D6" s="54" t="s">
        <v>198</v>
      </c>
      <c r="E6" s="54" t="s">
        <v>199</v>
      </c>
      <c r="F6" s="54" t="s">
        <v>200</v>
      </c>
      <c r="G6" s="54" t="s">
        <v>201</v>
      </c>
      <c r="H6" s="53" t="s">
        <v>202</v>
      </c>
    </row>
    <row r="7" customFormat="false" ht="57.45" hidden="false" customHeight="false" outlineLevel="0" collapsed="false">
      <c r="A7" s="55" t="s">
        <v>203</v>
      </c>
      <c r="B7" s="56" t="s">
        <v>196</v>
      </c>
      <c r="C7" s="56" t="s">
        <v>197</v>
      </c>
      <c r="D7" s="56" t="s">
        <v>198</v>
      </c>
      <c r="E7" s="56" t="s">
        <v>199</v>
      </c>
      <c r="F7" s="56" t="s">
        <v>200</v>
      </c>
      <c r="G7" s="56" t="s">
        <v>204</v>
      </c>
      <c r="H7" s="55" t="s">
        <v>205</v>
      </c>
    </row>
    <row r="9" customFormat="false" ht="39.75" hidden="false" customHeight="true" outlineLevel="0" collapsed="false">
      <c r="A9" s="57" t="s">
        <v>206</v>
      </c>
      <c r="B9" s="57" t="s">
        <v>207</v>
      </c>
      <c r="C9" s="57" t="s">
        <v>208</v>
      </c>
      <c r="D9" s="57" t="s">
        <v>209</v>
      </c>
      <c r="E9" s="57" t="s">
        <v>210</v>
      </c>
      <c r="F9" s="57" t="s">
        <v>211</v>
      </c>
      <c r="G9" s="57" t="s">
        <v>212</v>
      </c>
      <c r="H9" s="57" t="s">
        <v>213</v>
      </c>
      <c r="I9" s="57" t="s">
        <v>214</v>
      </c>
      <c r="J9" s="57" t="s">
        <v>215</v>
      </c>
      <c r="K9" s="57" t="s">
        <v>216</v>
      </c>
      <c r="L9" s="57" t="s">
        <v>217</v>
      </c>
      <c r="M9" s="57" t="s">
        <v>218</v>
      </c>
      <c r="N9" s="57" t="s">
        <v>219</v>
      </c>
      <c r="O9" s="57" t="s">
        <v>220</v>
      </c>
      <c r="P9" s="57" t="s">
        <v>221</v>
      </c>
      <c r="Q9" s="57" t="s">
        <v>222</v>
      </c>
      <c r="R9" s="57" t="s">
        <v>223</v>
      </c>
      <c r="S9" s="57" t="s">
        <v>224</v>
      </c>
      <c r="T9" s="3" t="s">
        <v>225</v>
      </c>
    </row>
    <row r="10" customFormat="false" ht="18" hidden="false" customHeight="true" outlineLevel="0" collapsed="false">
      <c r="A10" s="58" t="n">
        <v>1</v>
      </c>
      <c r="B10" s="58" t="n">
        <v>10</v>
      </c>
      <c r="C10" s="58" t="s">
        <v>226</v>
      </c>
      <c r="D10" s="58" t="n">
        <v>5</v>
      </c>
      <c r="E10" s="58" t="n">
        <v>50</v>
      </c>
      <c r="F10" s="59" t="s">
        <v>227</v>
      </c>
      <c r="G10" s="58" t="n">
        <v>1</v>
      </c>
      <c r="H10" s="58" t="n">
        <v>50</v>
      </c>
      <c r="I10" s="58" t="s">
        <v>228</v>
      </c>
      <c r="J10" s="58" t="n">
        <v>106</v>
      </c>
      <c r="K10" s="58" t="s">
        <v>229</v>
      </c>
      <c r="L10" s="58" t="s">
        <v>120</v>
      </c>
      <c r="M10" s="58" t="s">
        <v>230</v>
      </c>
      <c r="N10" s="58" t="s">
        <v>230</v>
      </c>
      <c r="O10" s="31" t="n">
        <v>2.1</v>
      </c>
      <c r="P10" s="31" t="n">
        <v>6.3</v>
      </c>
      <c r="Q10" s="31" t="n">
        <v>11.6</v>
      </c>
      <c r="R10" s="31" t="n">
        <v>22.2</v>
      </c>
      <c r="S10" s="60" t="s">
        <v>231</v>
      </c>
      <c r="T10" s="61" t="s">
        <v>232</v>
      </c>
    </row>
    <row r="11" customFormat="false" ht="18" hidden="false" customHeight="true" outlineLevel="0" collapsed="false">
      <c r="A11" s="58" t="n">
        <v>2</v>
      </c>
      <c r="B11" s="58" t="n">
        <v>25</v>
      </c>
      <c r="C11" s="58" t="s">
        <v>226</v>
      </c>
      <c r="D11" s="58" t="n">
        <v>2</v>
      </c>
      <c r="E11" s="58" t="n">
        <v>50</v>
      </c>
      <c r="F11" s="59" t="s">
        <v>227</v>
      </c>
      <c r="G11" s="58" t="n">
        <v>1</v>
      </c>
      <c r="H11" s="58" t="n">
        <v>50</v>
      </c>
      <c r="I11" s="58" t="s">
        <v>228</v>
      </c>
      <c r="J11" s="58" t="n">
        <v>106</v>
      </c>
      <c r="K11" s="58" t="s">
        <v>229</v>
      </c>
      <c r="L11" s="58" t="s">
        <v>120</v>
      </c>
      <c r="M11" s="58" t="s">
        <v>230</v>
      </c>
      <c r="N11" s="58" t="s">
        <v>230</v>
      </c>
      <c r="O11" s="31" t="n">
        <v>2.1</v>
      </c>
      <c r="P11" s="31" t="n">
        <v>6.3</v>
      </c>
      <c r="Q11" s="31" t="n">
        <v>11.6</v>
      </c>
      <c r="R11" s="31" t="n">
        <v>22.2</v>
      </c>
      <c r="S11" s="60" t="s">
        <v>231</v>
      </c>
      <c r="T11" s="61" t="s">
        <v>232</v>
      </c>
    </row>
    <row r="12" customFormat="false" ht="18" hidden="false" customHeight="true" outlineLevel="0" collapsed="false">
      <c r="A12" s="58" t="n">
        <v>3</v>
      </c>
      <c r="B12" s="58" t="n">
        <v>10</v>
      </c>
      <c r="C12" s="58" t="s">
        <v>226</v>
      </c>
      <c r="D12" s="58" t="n">
        <v>5</v>
      </c>
      <c r="E12" s="58" t="n">
        <v>50</v>
      </c>
      <c r="F12" s="59" t="s">
        <v>227</v>
      </c>
      <c r="G12" s="58" t="n">
        <v>2</v>
      </c>
      <c r="H12" s="58" t="n">
        <v>25</v>
      </c>
      <c r="I12" s="58" t="s">
        <v>233</v>
      </c>
      <c r="J12" s="58" t="n">
        <v>106</v>
      </c>
      <c r="K12" s="58" t="s">
        <v>234</v>
      </c>
      <c r="L12" s="58" t="s">
        <v>235</v>
      </c>
      <c r="M12" s="58" t="s">
        <v>230</v>
      </c>
      <c r="N12" s="58" t="s">
        <v>230</v>
      </c>
      <c r="O12" s="31" t="n">
        <v>3.1</v>
      </c>
      <c r="P12" s="31" t="n">
        <v>11.6</v>
      </c>
      <c r="Q12" s="31" t="n">
        <v>22.2</v>
      </c>
      <c r="R12" s="31" t="n">
        <v>43.4</v>
      </c>
      <c r="S12" s="54" t="s">
        <v>236</v>
      </c>
      <c r="T12" s="61" t="s">
        <v>237</v>
      </c>
    </row>
    <row r="13" customFormat="false" ht="18" hidden="false" customHeight="true" outlineLevel="0" collapsed="false">
      <c r="A13" s="58" t="n">
        <v>4</v>
      </c>
      <c r="B13" s="58" t="n">
        <v>25</v>
      </c>
      <c r="C13" s="58" t="s">
        <v>226</v>
      </c>
      <c r="D13" s="58" t="n">
        <v>2</v>
      </c>
      <c r="E13" s="58" t="n">
        <v>50</v>
      </c>
      <c r="F13" s="59" t="s">
        <v>227</v>
      </c>
      <c r="G13" s="58" t="n">
        <v>2</v>
      </c>
      <c r="H13" s="58" t="n">
        <v>25</v>
      </c>
      <c r="I13" s="58" t="s">
        <v>233</v>
      </c>
      <c r="J13" s="58" t="n">
        <v>106</v>
      </c>
      <c r="K13" s="58" t="s">
        <v>234</v>
      </c>
      <c r="L13" s="58" t="s">
        <v>235</v>
      </c>
      <c r="M13" s="58" t="s">
        <v>230</v>
      </c>
      <c r="N13" s="58" t="s">
        <v>230</v>
      </c>
      <c r="O13" s="31" t="n">
        <v>3.1</v>
      </c>
      <c r="P13" s="31" t="n">
        <v>11.6</v>
      </c>
      <c r="Q13" s="31" t="n">
        <v>22.2</v>
      </c>
      <c r="R13" s="31" t="n">
        <v>43.4</v>
      </c>
      <c r="S13" s="54" t="s">
        <v>236</v>
      </c>
      <c r="T13" s="61" t="s">
        <v>237</v>
      </c>
    </row>
    <row r="14" customFormat="false" ht="18" hidden="false" customHeight="true" outlineLevel="0" collapsed="false">
      <c r="A14" s="58" t="n">
        <v>5</v>
      </c>
      <c r="B14" s="58" t="n">
        <v>25</v>
      </c>
      <c r="C14" s="58" t="s">
        <v>226</v>
      </c>
      <c r="D14" s="58" t="n">
        <v>2</v>
      </c>
      <c r="E14" s="58" t="n">
        <v>50</v>
      </c>
      <c r="F14" s="59" t="s">
        <v>238</v>
      </c>
      <c r="G14" s="58" t="n">
        <v>1</v>
      </c>
      <c r="H14" s="58" t="n">
        <v>25</v>
      </c>
      <c r="I14" s="58" t="s">
        <v>233</v>
      </c>
      <c r="J14" s="58" t="n">
        <v>106</v>
      </c>
      <c r="K14" s="58" t="s">
        <v>234</v>
      </c>
      <c r="L14" s="58" t="s">
        <v>235</v>
      </c>
      <c r="M14" s="58" t="s">
        <v>230</v>
      </c>
      <c r="N14" s="58" t="s">
        <v>230</v>
      </c>
      <c r="O14" s="31" t="n">
        <v>3.1</v>
      </c>
      <c r="P14" s="31" t="n">
        <v>11.6</v>
      </c>
      <c r="Q14" s="31" t="n">
        <v>22.2</v>
      </c>
      <c r="R14" s="31" t="n">
        <v>43.4</v>
      </c>
      <c r="S14" s="54" t="s">
        <v>239</v>
      </c>
      <c r="T14" s="61" t="s">
        <v>240</v>
      </c>
    </row>
    <row r="15" customFormat="false" ht="18" hidden="false" customHeight="true" outlineLevel="0" collapsed="false">
      <c r="A15" s="62" t="n">
        <v>6</v>
      </c>
      <c r="B15" s="62" t="n">
        <v>10</v>
      </c>
      <c r="C15" s="62" t="s">
        <v>226</v>
      </c>
      <c r="D15" s="62" t="n">
        <v>5</v>
      </c>
      <c r="E15" s="62" t="n">
        <v>50</v>
      </c>
      <c r="F15" s="18" t="s">
        <v>227</v>
      </c>
      <c r="G15" s="62" t="n">
        <v>4</v>
      </c>
      <c r="H15" s="62" t="n">
        <v>12.5</v>
      </c>
      <c r="I15" s="62" t="s">
        <v>241</v>
      </c>
      <c r="J15" s="62" t="n">
        <v>106</v>
      </c>
      <c r="K15" s="62" t="s">
        <v>242</v>
      </c>
      <c r="L15" s="62" t="s">
        <v>243</v>
      </c>
      <c r="M15" s="62" t="s">
        <v>230</v>
      </c>
      <c r="N15" s="62" t="s">
        <v>230</v>
      </c>
      <c r="O15" s="63" t="n">
        <v>5.2</v>
      </c>
      <c r="P15" s="63" t="n">
        <v>22.2</v>
      </c>
      <c r="Q15" s="63" t="n">
        <v>43.4</v>
      </c>
      <c r="R15" s="63" t="n">
        <v>85.8</v>
      </c>
      <c r="S15" s="54" t="s">
        <v>236</v>
      </c>
      <c r="T15" s="6"/>
    </row>
    <row r="16" customFormat="false" ht="18" hidden="false" customHeight="true" outlineLevel="0" collapsed="false">
      <c r="A16" s="64" t="n">
        <v>7</v>
      </c>
      <c r="B16" s="64" t="n">
        <v>25</v>
      </c>
      <c r="C16" s="64" t="s">
        <v>226</v>
      </c>
      <c r="D16" s="64" t="n">
        <v>2</v>
      </c>
      <c r="E16" s="64" t="n">
        <v>50</v>
      </c>
      <c r="F16" s="13" t="s">
        <v>227</v>
      </c>
      <c r="G16" s="64" t="n">
        <v>4</v>
      </c>
      <c r="H16" s="64" t="n">
        <v>12.5</v>
      </c>
      <c r="I16" s="64" t="s">
        <v>241</v>
      </c>
      <c r="J16" s="64" t="n">
        <v>106</v>
      </c>
      <c r="K16" s="64" t="s">
        <v>242</v>
      </c>
      <c r="L16" s="64" t="s">
        <v>243</v>
      </c>
      <c r="M16" s="64" t="s">
        <v>230</v>
      </c>
      <c r="N16" s="64" t="s">
        <v>230</v>
      </c>
      <c r="O16" s="65" t="n">
        <v>5.2</v>
      </c>
      <c r="P16" s="65" t="n">
        <v>22.2</v>
      </c>
      <c r="Q16" s="65" t="n">
        <v>43.4</v>
      </c>
      <c r="R16" s="65" t="n">
        <v>85.8</v>
      </c>
      <c r="S16" s="54" t="s">
        <v>236</v>
      </c>
      <c r="T16" s="5"/>
    </row>
    <row r="17" customFormat="false" ht="18" hidden="false" customHeight="true" outlineLevel="0" collapsed="false">
      <c r="A17" s="62" t="n">
        <v>8</v>
      </c>
      <c r="B17" s="62" t="n">
        <v>10</v>
      </c>
      <c r="C17" s="62" t="s">
        <v>226</v>
      </c>
      <c r="D17" s="62" t="n">
        <v>5</v>
      </c>
      <c r="E17" s="62" t="n">
        <v>50</v>
      </c>
      <c r="F17" s="18" t="s">
        <v>238</v>
      </c>
      <c r="G17" s="62" t="n">
        <v>1</v>
      </c>
      <c r="H17" s="62" t="n">
        <v>10</v>
      </c>
      <c r="I17" s="62" t="s">
        <v>244</v>
      </c>
      <c r="J17" s="62" t="n">
        <v>106</v>
      </c>
      <c r="K17" s="62" t="s">
        <v>245</v>
      </c>
      <c r="L17" s="62" t="s">
        <v>246</v>
      </c>
      <c r="M17" s="62" t="s">
        <v>230</v>
      </c>
      <c r="N17" s="62" t="s">
        <v>230</v>
      </c>
      <c r="O17" s="63" t="n">
        <v>6.3</v>
      </c>
      <c r="P17" s="63" t="n">
        <v>27.5</v>
      </c>
      <c r="Q17" s="63" t="n">
        <v>54</v>
      </c>
      <c r="R17" s="63" t="n">
        <v>107</v>
      </c>
      <c r="S17" s="54" t="s">
        <v>239</v>
      </c>
      <c r="T17" s="6"/>
    </row>
    <row r="18" customFormat="false" ht="18" hidden="false" customHeight="true" outlineLevel="0" collapsed="false">
      <c r="A18" s="11" t="n">
        <v>9</v>
      </c>
      <c r="B18" s="11" t="n">
        <v>10</v>
      </c>
      <c r="C18" s="11" t="s">
        <v>226</v>
      </c>
      <c r="D18" s="11" t="n">
        <v>4</v>
      </c>
      <c r="E18" s="11" t="n">
        <v>40</v>
      </c>
      <c r="F18" s="66" t="s">
        <v>227</v>
      </c>
      <c r="G18" s="11" t="n">
        <v>1</v>
      </c>
      <c r="H18" s="11" t="n">
        <v>40</v>
      </c>
      <c r="I18" s="11" t="s">
        <v>247</v>
      </c>
      <c r="J18" s="11" t="n">
        <v>106</v>
      </c>
      <c r="K18" s="11" t="s">
        <v>248</v>
      </c>
      <c r="L18" s="11" t="s">
        <v>120</v>
      </c>
      <c r="M18" s="11" t="s">
        <v>230</v>
      </c>
      <c r="N18" s="11" t="s">
        <v>230</v>
      </c>
      <c r="O18" s="25" t="n">
        <v>2.1</v>
      </c>
      <c r="P18" s="25" t="n">
        <v>6.3</v>
      </c>
      <c r="Q18" s="25" t="n">
        <v>11.6</v>
      </c>
      <c r="R18" s="25" t="n">
        <v>22.2</v>
      </c>
      <c r="S18" s="54" t="s">
        <v>236</v>
      </c>
      <c r="T18" s="53" t="s">
        <v>249</v>
      </c>
    </row>
    <row r="19" customFormat="false" ht="18" hidden="false" customHeight="true" outlineLevel="0" collapsed="false">
      <c r="A19" s="11" t="n">
        <v>10</v>
      </c>
      <c r="B19" s="11" t="n">
        <v>20</v>
      </c>
      <c r="C19" s="11" t="s">
        <v>226</v>
      </c>
      <c r="D19" s="11" t="n">
        <v>2</v>
      </c>
      <c r="E19" s="11" t="n">
        <v>40</v>
      </c>
      <c r="F19" s="66" t="s">
        <v>227</v>
      </c>
      <c r="G19" s="11" t="n">
        <v>1</v>
      </c>
      <c r="H19" s="11" t="n">
        <v>40</v>
      </c>
      <c r="I19" s="11" t="s">
        <v>247</v>
      </c>
      <c r="J19" s="11" t="n">
        <v>106</v>
      </c>
      <c r="K19" s="11" t="s">
        <v>248</v>
      </c>
      <c r="L19" s="11" t="s">
        <v>120</v>
      </c>
      <c r="M19" s="11" t="s">
        <v>230</v>
      </c>
      <c r="N19" s="11" t="s">
        <v>230</v>
      </c>
      <c r="O19" s="25" t="n">
        <v>2.1</v>
      </c>
      <c r="P19" s="25" t="n">
        <v>6.3</v>
      </c>
      <c r="Q19" s="25" t="n">
        <v>11.6</v>
      </c>
      <c r="R19" s="25" t="n">
        <v>22.2</v>
      </c>
      <c r="S19" s="54" t="s">
        <v>236</v>
      </c>
      <c r="T19" s="53" t="s">
        <v>250</v>
      </c>
    </row>
    <row r="20" customFormat="false" ht="18" hidden="false" customHeight="true" outlineLevel="0" collapsed="false">
      <c r="A20" s="64" t="n">
        <v>11</v>
      </c>
      <c r="B20" s="64" t="n">
        <v>10</v>
      </c>
      <c r="C20" s="64" t="s">
        <v>226</v>
      </c>
      <c r="D20" s="64" t="n">
        <v>4</v>
      </c>
      <c r="E20" s="64" t="n">
        <v>40</v>
      </c>
      <c r="F20" s="13" t="s">
        <v>227</v>
      </c>
      <c r="G20" s="64" t="n">
        <v>2</v>
      </c>
      <c r="H20" s="64" t="n">
        <v>20</v>
      </c>
      <c r="I20" s="64" t="s">
        <v>251</v>
      </c>
      <c r="J20" s="64" t="n">
        <v>106</v>
      </c>
      <c r="K20" s="64" t="s">
        <v>252</v>
      </c>
      <c r="L20" s="64" t="s">
        <v>235</v>
      </c>
      <c r="M20" s="64" t="s">
        <v>230</v>
      </c>
      <c r="N20" s="64" t="s">
        <v>230</v>
      </c>
      <c r="O20" s="65" t="n">
        <v>3.1</v>
      </c>
      <c r="P20" s="65" t="n">
        <v>11.6</v>
      </c>
      <c r="Q20" s="65" t="n">
        <v>22.2</v>
      </c>
      <c r="R20" s="65" t="n">
        <v>43.4</v>
      </c>
      <c r="S20" s="54" t="s">
        <v>236</v>
      </c>
      <c r="T20" s="5"/>
    </row>
    <row r="21" customFormat="false" ht="18" hidden="false" customHeight="true" outlineLevel="0" collapsed="false">
      <c r="A21" s="62" t="n">
        <v>12</v>
      </c>
      <c r="B21" s="62" t="n">
        <v>20</v>
      </c>
      <c r="C21" s="62" t="s">
        <v>226</v>
      </c>
      <c r="D21" s="62" t="n">
        <v>2</v>
      </c>
      <c r="E21" s="62" t="n">
        <v>40</v>
      </c>
      <c r="F21" s="18" t="s">
        <v>227</v>
      </c>
      <c r="G21" s="62" t="n">
        <v>2</v>
      </c>
      <c r="H21" s="62" t="n">
        <v>20</v>
      </c>
      <c r="I21" s="62" t="s">
        <v>251</v>
      </c>
      <c r="J21" s="62" t="n">
        <v>106</v>
      </c>
      <c r="K21" s="62" t="s">
        <v>252</v>
      </c>
      <c r="L21" s="62" t="s">
        <v>235</v>
      </c>
      <c r="M21" s="62" t="s">
        <v>230</v>
      </c>
      <c r="N21" s="62" t="s">
        <v>230</v>
      </c>
      <c r="O21" s="63" t="n">
        <v>3.1</v>
      </c>
      <c r="P21" s="63" t="n">
        <v>11.6</v>
      </c>
      <c r="Q21" s="63" t="n">
        <v>22.2</v>
      </c>
      <c r="R21" s="63" t="n">
        <v>43.4</v>
      </c>
      <c r="S21" s="54" t="s">
        <v>236</v>
      </c>
      <c r="T21" s="6"/>
    </row>
    <row r="22" customFormat="false" ht="18" hidden="false" customHeight="true" outlineLevel="0" collapsed="false">
      <c r="A22" s="64" t="n">
        <v>13</v>
      </c>
      <c r="B22" s="64" t="n">
        <v>10</v>
      </c>
      <c r="C22" s="64" t="s">
        <v>226</v>
      </c>
      <c r="D22" s="64" t="n">
        <v>4</v>
      </c>
      <c r="E22" s="64" t="n">
        <v>40</v>
      </c>
      <c r="F22" s="13" t="s">
        <v>227</v>
      </c>
      <c r="G22" s="64" t="n">
        <v>4</v>
      </c>
      <c r="H22" s="64" t="n">
        <v>10</v>
      </c>
      <c r="I22" s="64" t="s">
        <v>244</v>
      </c>
      <c r="J22" s="64" t="n">
        <v>106</v>
      </c>
      <c r="K22" s="64" t="s">
        <v>245</v>
      </c>
      <c r="L22" s="64" t="s">
        <v>243</v>
      </c>
      <c r="M22" s="64" t="s">
        <v>230</v>
      </c>
      <c r="N22" s="64" t="s">
        <v>230</v>
      </c>
      <c r="O22" s="65" t="n">
        <v>5.2</v>
      </c>
      <c r="P22" s="65" t="n">
        <v>22.2</v>
      </c>
      <c r="Q22" s="65" t="n">
        <v>43.4</v>
      </c>
      <c r="R22" s="65" t="n">
        <v>85.8</v>
      </c>
      <c r="S22" s="54" t="s">
        <v>236</v>
      </c>
      <c r="T22" s="5"/>
    </row>
    <row r="23" customFormat="false" ht="18" hidden="false" customHeight="true" outlineLevel="0" collapsed="false">
      <c r="A23" s="62" t="n">
        <v>14</v>
      </c>
      <c r="B23" s="62" t="n">
        <v>20</v>
      </c>
      <c r="C23" s="62" t="s">
        <v>226</v>
      </c>
      <c r="D23" s="62" t="n">
        <v>2</v>
      </c>
      <c r="E23" s="62" t="n">
        <v>40</v>
      </c>
      <c r="F23" s="18" t="s">
        <v>227</v>
      </c>
      <c r="G23" s="62" t="n">
        <v>4</v>
      </c>
      <c r="H23" s="62" t="n">
        <v>10</v>
      </c>
      <c r="I23" s="62" t="s">
        <v>244</v>
      </c>
      <c r="J23" s="62" t="n">
        <v>106</v>
      </c>
      <c r="K23" s="62" t="s">
        <v>245</v>
      </c>
      <c r="L23" s="62" t="s">
        <v>243</v>
      </c>
      <c r="M23" s="62" t="s">
        <v>230</v>
      </c>
      <c r="N23" s="62" t="s">
        <v>230</v>
      </c>
      <c r="O23" s="63" t="n">
        <v>5.2</v>
      </c>
      <c r="P23" s="63" t="n">
        <v>22.2</v>
      </c>
      <c r="Q23" s="63" t="n">
        <v>43.4</v>
      </c>
      <c r="R23" s="63" t="n">
        <v>85.8</v>
      </c>
      <c r="S23" s="54" t="s">
        <v>236</v>
      </c>
      <c r="T23" s="6"/>
    </row>
    <row r="24" customFormat="false" ht="18" hidden="false" customHeight="true" outlineLevel="0" collapsed="false">
      <c r="A24" s="11" t="n">
        <v>15</v>
      </c>
      <c r="B24" s="11" t="n">
        <v>25</v>
      </c>
      <c r="C24" s="11" t="s">
        <v>29</v>
      </c>
      <c r="D24" s="11" t="s">
        <v>13</v>
      </c>
      <c r="E24" s="11" t="n">
        <v>25</v>
      </c>
      <c r="F24" s="66" t="s">
        <v>227</v>
      </c>
      <c r="G24" s="11" t="n">
        <v>1</v>
      </c>
      <c r="H24" s="11" t="n">
        <v>25</v>
      </c>
      <c r="I24" s="11" t="s">
        <v>233</v>
      </c>
      <c r="J24" s="11" t="n">
        <v>106</v>
      </c>
      <c r="K24" s="11" t="s">
        <v>234</v>
      </c>
      <c r="L24" s="11" t="s">
        <v>120</v>
      </c>
      <c r="M24" s="11" t="s">
        <v>230</v>
      </c>
      <c r="N24" s="11" t="s">
        <v>230</v>
      </c>
      <c r="O24" s="25" t="n">
        <v>2.1</v>
      </c>
      <c r="P24" s="25" t="n">
        <v>6.3</v>
      </c>
      <c r="Q24" s="25" t="n">
        <v>11.6</v>
      </c>
      <c r="R24" s="25" t="n">
        <v>22.2</v>
      </c>
      <c r="S24" s="54" t="s">
        <v>236</v>
      </c>
      <c r="T24" s="53" t="s">
        <v>253</v>
      </c>
    </row>
    <row r="25" customFormat="false" ht="18" hidden="false" customHeight="true" outlineLevel="0" collapsed="false">
      <c r="A25" s="62" t="n">
        <v>16</v>
      </c>
      <c r="B25" s="62" t="n">
        <v>25</v>
      </c>
      <c r="C25" s="62" t="s">
        <v>29</v>
      </c>
      <c r="D25" s="62" t="s">
        <v>13</v>
      </c>
      <c r="E25" s="62" t="n">
        <v>25</v>
      </c>
      <c r="F25" s="18" t="s">
        <v>227</v>
      </c>
      <c r="G25" s="62" t="n">
        <v>2</v>
      </c>
      <c r="H25" s="62" t="n">
        <v>12.5</v>
      </c>
      <c r="I25" s="62" t="s">
        <v>241</v>
      </c>
      <c r="J25" s="62" t="n">
        <v>106</v>
      </c>
      <c r="K25" s="62" t="s">
        <v>242</v>
      </c>
      <c r="L25" s="62" t="s">
        <v>235</v>
      </c>
      <c r="M25" s="62" t="s">
        <v>230</v>
      </c>
      <c r="N25" s="62" t="s">
        <v>230</v>
      </c>
      <c r="O25" s="63" t="n">
        <v>3.1</v>
      </c>
      <c r="P25" s="63" t="n">
        <v>11.6</v>
      </c>
      <c r="Q25" s="63" t="n">
        <v>22.2</v>
      </c>
      <c r="R25" s="63" t="n">
        <v>43.4</v>
      </c>
      <c r="S25" s="54" t="s">
        <v>236</v>
      </c>
      <c r="T25" s="6"/>
    </row>
    <row r="26" customFormat="false" ht="18" hidden="false" customHeight="true" outlineLevel="0" collapsed="false">
      <c r="A26" s="64" t="n">
        <v>17</v>
      </c>
      <c r="B26" s="64" t="n">
        <v>25</v>
      </c>
      <c r="C26" s="64" t="s">
        <v>29</v>
      </c>
      <c r="D26" s="64" t="s">
        <v>13</v>
      </c>
      <c r="E26" s="64" t="n">
        <v>25</v>
      </c>
      <c r="F26" s="13" t="s">
        <v>227</v>
      </c>
      <c r="G26" s="64" t="n">
        <v>4</v>
      </c>
      <c r="H26" s="64" t="n">
        <v>6.25</v>
      </c>
      <c r="I26" s="64" t="s">
        <v>254</v>
      </c>
      <c r="J26" s="64" t="n">
        <v>106</v>
      </c>
      <c r="K26" s="64" t="s">
        <v>255</v>
      </c>
      <c r="L26" s="64" t="s">
        <v>243</v>
      </c>
      <c r="M26" s="64" t="s">
        <v>230</v>
      </c>
      <c r="N26" s="64" t="s">
        <v>230</v>
      </c>
      <c r="O26" s="65" t="n">
        <v>5.2</v>
      </c>
      <c r="P26" s="65" t="n">
        <v>22.2</v>
      </c>
      <c r="Q26" s="65" t="n">
        <v>43.4</v>
      </c>
      <c r="R26" s="65" t="n">
        <v>85.8</v>
      </c>
      <c r="S26" s="54" t="s">
        <v>236</v>
      </c>
      <c r="T26" s="5"/>
    </row>
    <row r="27" customFormat="false" ht="18" hidden="false" customHeight="true" outlineLevel="0" collapsed="false">
      <c r="A27" s="62" t="n">
        <v>18</v>
      </c>
      <c r="B27" s="62" t="n">
        <v>10</v>
      </c>
      <c r="C27" s="62" t="s">
        <v>226</v>
      </c>
      <c r="D27" s="62" t="n">
        <v>2</v>
      </c>
      <c r="E27" s="62" t="n">
        <v>20</v>
      </c>
      <c r="F27" s="18" t="s">
        <v>227</v>
      </c>
      <c r="G27" s="62" t="n">
        <v>1</v>
      </c>
      <c r="H27" s="62" t="n">
        <v>20</v>
      </c>
      <c r="I27" s="62" t="s">
        <v>251</v>
      </c>
      <c r="J27" s="62" t="n">
        <v>106</v>
      </c>
      <c r="K27" s="62" t="s">
        <v>252</v>
      </c>
      <c r="L27" s="62" t="s">
        <v>120</v>
      </c>
      <c r="M27" s="62" t="s">
        <v>230</v>
      </c>
      <c r="N27" s="62" t="s">
        <v>230</v>
      </c>
      <c r="O27" s="63" t="n">
        <v>2.1</v>
      </c>
      <c r="P27" s="63" t="n">
        <v>6.3</v>
      </c>
      <c r="Q27" s="63" t="n">
        <v>11.6</v>
      </c>
      <c r="R27" s="63" t="n">
        <v>22.2</v>
      </c>
      <c r="S27" s="54" t="s">
        <v>236</v>
      </c>
      <c r="T27" s="6"/>
    </row>
    <row r="28" customFormat="false" ht="18" hidden="false" customHeight="true" outlineLevel="0" collapsed="false">
      <c r="A28" s="64" t="n">
        <v>19</v>
      </c>
      <c r="B28" s="64" t="n">
        <v>20</v>
      </c>
      <c r="C28" s="64" t="s">
        <v>29</v>
      </c>
      <c r="D28" s="64" t="s">
        <v>13</v>
      </c>
      <c r="E28" s="64" t="n">
        <v>20</v>
      </c>
      <c r="F28" s="13" t="s">
        <v>227</v>
      </c>
      <c r="G28" s="64" t="n">
        <v>1</v>
      </c>
      <c r="H28" s="64" t="n">
        <v>20</v>
      </c>
      <c r="I28" s="64" t="s">
        <v>251</v>
      </c>
      <c r="J28" s="64" t="n">
        <v>106</v>
      </c>
      <c r="K28" s="64" t="s">
        <v>252</v>
      </c>
      <c r="L28" s="64" t="s">
        <v>120</v>
      </c>
      <c r="M28" s="64" t="s">
        <v>230</v>
      </c>
      <c r="N28" s="64" t="s">
        <v>230</v>
      </c>
      <c r="O28" s="65" t="n">
        <v>2.1</v>
      </c>
      <c r="P28" s="65" t="n">
        <v>6.3</v>
      </c>
      <c r="Q28" s="65" t="n">
        <v>11.6</v>
      </c>
      <c r="R28" s="65" t="n">
        <v>22.2</v>
      </c>
      <c r="S28" s="54" t="s">
        <v>236</v>
      </c>
      <c r="T28" s="5"/>
    </row>
    <row r="29" customFormat="false" ht="18" hidden="false" customHeight="true" outlineLevel="0" collapsed="false">
      <c r="A29" s="62" t="n">
        <v>20</v>
      </c>
      <c r="B29" s="62" t="n">
        <v>10</v>
      </c>
      <c r="C29" s="62" t="s">
        <v>226</v>
      </c>
      <c r="D29" s="62" t="n">
        <v>2</v>
      </c>
      <c r="E29" s="62" t="n">
        <v>20</v>
      </c>
      <c r="F29" s="18" t="s">
        <v>227</v>
      </c>
      <c r="G29" s="62" t="n">
        <v>2</v>
      </c>
      <c r="H29" s="62" t="n">
        <v>10</v>
      </c>
      <c r="I29" s="62" t="s">
        <v>244</v>
      </c>
      <c r="J29" s="62" t="n">
        <v>106</v>
      </c>
      <c r="K29" s="62" t="s">
        <v>245</v>
      </c>
      <c r="L29" s="62" t="s">
        <v>235</v>
      </c>
      <c r="M29" s="62" t="s">
        <v>230</v>
      </c>
      <c r="N29" s="62" t="s">
        <v>230</v>
      </c>
      <c r="O29" s="63" t="n">
        <v>3.1</v>
      </c>
      <c r="P29" s="63" t="n">
        <v>11.6</v>
      </c>
      <c r="Q29" s="63" t="n">
        <v>22.2</v>
      </c>
      <c r="R29" s="63" t="n">
        <v>43.4</v>
      </c>
      <c r="S29" s="54" t="s">
        <v>236</v>
      </c>
      <c r="T29" s="6"/>
    </row>
    <row r="30" customFormat="false" ht="18" hidden="false" customHeight="true" outlineLevel="0" collapsed="false">
      <c r="A30" s="64" t="n">
        <v>21</v>
      </c>
      <c r="B30" s="64" t="n">
        <v>20</v>
      </c>
      <c r="C30" s="64" t="s">
        <v>29</v>
      </c>
      <c r="D30" s="64" t="s">
        <v>13</v>
      </c>
      <c r="E30" s="64" t="n">
        <v>20</v>
      </c>
      <c r="F30" s="13" t="s">
        <v>227</v>
      </c>
      <c r="G30" s="64" t="n">
        <v>2</v>
      </c>
      <c r="H30" s="64" t="n">
        <v>10</v>
      </c>
      <c r="I30" s="64" t="s">
        <v>244</v>
      </c>
      <c r="J30" s="64" t="n">
        <v>106</v>
      </c>
      <c r="K30" s="64" t="s">
        <v>245</v>
      </c>
      <c r="L30" s="64" t="s">
        <v>235</v>
      </c>
      <c r="M30" s="64" t="s">
        <v>230</v>
      </c>
      <c r="N30" s="64" t="s">
        <v>230</v>
      </c>
      <c r="O30" s="65" t="n">
        <v>3.1</v>
      </c>
      <c r="P30" s="65" t="n">
        <v>11.6</v>
      </c>
      <c r="Q30" s="65" t="n">
        <v>22.2</v>
      </c>
      <c r="R30" s="65" t="n">
        <v>43.4</v>
      </c>
      <c r="S30" s="54" t="s">
        <v>236</v>
      </c>
      <c r="T30" s="5"/>
    </row>
    <row r="31" customFormat="false" ht="18" hidden="false" customHeight="true" outlineLevel="0" collapsed="false">
      <c r="A31" s="62" t="n">
        <v>22</v>
      </c>
      <c r="B31" s="62" t="n">
        <v>10</v>
      </c>
      <c r="C31" s="62" t="s">
        <v>226</v>
      </c>
      <c r="D31" s="62" t="n">
        <v>2</v>
      </c>
      <c r="E31" s="62" t="n">
        <v>20</v>
      </c>
      <c r="F31" s="18" t="s">
        <v>238</v>
      </c>
      <c r="G31" s="62" t="n">
        <v>1</v>
      </c>
      <c r="H31" s="62" t="n">
        <v>10</v>
      </c>
      <c r="I31" s="62" t="s">
        <v>244</v>
      </c>
      <c r="J31" s="62" t="n">
        <v>106</v>
      </c>
      <c r="K31" s="62" t="s">
        <v>245</v>
      </c>
      <c r="L31" s="62" t="s">
        <v>235</v>
      </c>
      <c r="M31" s="62" t="s">
        <v>230</v>
      </c>
      <c r="N31" s="62" t="s">
        <v>230</v>
      </c>
      <c r="O31" s="63" t="n">
        <v>3.1</v>
      </c>
      <c r="P31" s="63" t="n">
        <v>11.6</v>
      </c>
      <c r="Q31" s="63" t="n">
        <v>22.2</v>
      </c>
      <c r="R31" s="63" t="n">
        <v>43.4</v>
      </c>
      <c r="S31" s="54" t="s">
        <v>239</v>
      </c>
      <c r="T31" s="6"/>
    </row>
    <row r="32" customFormat="false" ht="18" hidden="false" customHeight="true" outlineLevel="0" collapsed="false">
      <c r="A32" s="64" t="n">
        <v>23</v>
      </c>
      <c r="B32" s="64" t="n">
        <v>10</v>
      </c>
      <c r="C32" s="64" t="s">
        <v>226</v>
      </c>
      <c r="D32" s="64" t="n">
        <v>2</v>
      </c>
      <c r="E32" s="64" t="n">
        <v>20</v>
      </c>
      <c r="F32" s="13" t="s">
        <v>227</v>
      </c>
      <c r="G32" s="64" t="n">
        <v>4</v>
      </c>
      <c r="H32" s="64" t="n">
        <v>5</v>
      </c>
      <c r="I32" s="64" t="s">
        <v>256</v>
      </c>
      <c r="J32" s="64" t="n">
        <v>106</v>
      </c>
      <c r="K32" s="64" t="s">
        <v>257</v>
      </c>
      <c r="L32" s="64" t="s">
        <v>243</v>
      </c>
      <c r="M32" s="64" t="s">
        <v>230</v>
      </c>
      <c r="N32" s="64" t="s">
        <v>230</v>
      </c>
      <c r="O32" s="65" t="n">
        <v>5.2</v>
      </c>
      <c r="P32" s="65" t="n">
        <v>22.2</v>
      </c>
      <c r="Q32" s="65" t="n">
        <v>43.4</v>
      </c>
      <c r="R32" s="65" t="n">
        <v>85.8</v>
      </c>
      <c r="S32" s="54" t="s">
        <v>236</v>
      </c>
      <c r="T32" s="5"/>
    </row>
    <row r="33" customFormat="false" ht="18" hidden="false" customHeight="true" outlineLevel="0" collapsed="false">
      <c r="A33" s="62" t="n">
        <v>24</v>
      </c>
      <c r="B33" s="62" t="n">
        <v>20</v>
      </c>
      <c r="C33" s="62" t="s">
        <v>29</v>
      </c>
      <c r="D33" s="62" t="s">
        <v>13</v>
      </c>
      <c r="E33" s="62" t="n">
        <v>20</v>
      </c>
      <c r="F33" s="18" t="s">
        <v>227</v>
      </c>
      <c r="G33" s="62" t="n">
        <v>4</v>
      </c>
      <c r="H33" s="62" t="n">
        <v>5</v>
      </c>
      <c r="I33" s="62" t="s">
        <v>256</v>
      </c>
      <c r="J33" s="62" t="n">
        <v>106</v>
      </c>
      <c r="K33" s="62" t="s">
        <v>257</v>
      </c>
      <c r="L33" s="62" t="s">
        <v>243</v>
      </c>
      <c r="M33" s="62" t="s">
        <v>230</v>
      </c>
      <c r="N33" s="62" t="s">
        <v>230</v>
      </c>
      <c r="O33" s="63" t="n">
        <v>5.2</v>
      </c>
      <c r="P33" s="63" t="n">
        <v>22.2</v>
      </c>
      <c r="Q33" s="63" t="n">
        <v>43.4</v>
      </c>
      <c r="R33" s="63" t="n">
        <v>85.8</v>
      </c>
      <c r="S33" s="54" t="s">
        <v>236</v>
      </c>
      <c r="T33" s="6"/>
    </row>
    <row r="34" customFormat="false" ht="18" hidden="false" customHeight="true" outlineLevel="0" collapsed="false">
      <c r="A34" s="64" t="n">
        <v>25</v>
      </c>
      <c r="B34" s="64" t="n">
        <v>10</v>
      </c>
      <c r="C34" s="64" t="s">
        <v>29</v>
      </c>
      <c r="D34" s="64" t="s">
        <v>13</v>
      </c>
      <c r="E34" s="64" t="n">
        <v>10</v>
      </c>
      <c r="F34" s="13" t="s">
        <v>227</v>
      </c>
      <c r="G34" s="64" t="n">
        <v>1</v>
      </c>
      <c r="H34" s="64" t="n">
        <v>10</v>
      </c>
      <c r="I34" s="64" t="s">
        <v>244</v>
      </c>
      <c r="J34" s="64" t="n">
        <v>106</v>
      </c>
      <c r="K34" s="64" t="s">
        <v>245</v>
      </c>
      <c r="L34" s="64" t="s">
        <v>120</v>
      </c>
      <c r="M34" s="64" t="s">
        <v>230</v>
      </c>
      <c r="N34" s="64" t="s">
        <v>230</v>
      </c>
      <c r="O34" s="65" t="n">
        <v>2.1</v>
      </c>
      <c r="P34" s="65" t="n">
        <v>6.3</v>
      </c>
      <c r="Q34" s="65" t="n">
        <v>11.6</v>
      </c>
      <c r="R34" s="65" t="n">
        <v>22.2</v>
      </c>
      <c r="S34" s="54" t="s">
        <v>236</v>
      </c>
      <c r="T34" s="5"/>
    </row>
    <row r="35" customFormat="false" ht="18" hidden="false" customHeight="true" outlineLevel="0" collapsed="false">
      <c r="A35" s="62" t="n">
        <v>26</v>
      </c>
      <c r="B35" s="62" t="n">
        <v>10</v>
      </c>
      <c r="C35" s="62" t="s">
        <v>29</v>
      </c>
      <c r="D35" s="62" t="s">
        <v>13</v>
      </c>
      <c r="E35" s="62" t="n">
        <v>10</v>
      </c>
      <c r="F35" s="18" t="s">
        <v>227</v>
      </c>
      <c r="G35" s="62" t="n">
        <v>2</v>
      </c>
      <c r="H35" s="62" t="n">
        <v>5</v>
      </c>
      <c r="I35" s="62" t="s">
        <v>256</v>
      </c>
      <c r="J35" s="62" t="n">
        <v>106</v>
      </c>
      <c r="K35" s="62" t="s">
        <v>257</v>
      </c>
      <c r="L35" s="62" t="s">
        <v>235</v>
      </c>
      <c r="M35" s="62" t="s">
        <v>230</v>
      </c>
      <c r="N35" s="62" t="s">
        <v>230</v>
      </c>
      <c r="O35" s="63" t="n">
        <v>3.1</v>
      </c>
      <c r="P35" s="63" t="n">
        <v>11.6</v>
      </c>
      <c r="Q35" s="63" t="n">
        <v>22.2</v>
      </c>
      <c r="R35" s="63" t="n">
        <v>43.4</v>
      </c>
      <c r="S35" s="54" t="s">
        <v>236</v>
      </c>
      <c r="T35" s="6"/>
    </row>
    <row r="36" customFormat="false" ht="18" hidden="false" customHeight="true" outlineLevel="0" collapsed="false">
      <c r="A36" s="64" t="n">
        <v>27</v>
      </c>
      <c r="B36" s="64" t="n">
        <v>10</v>
      </c>
      <c r="C36" s="64" t="s">
        <v>29</v>
      </c>
      <c r="D36" s="64" t="s">
        <v>13</v>
      </c>
      <c r="E36" s="64" t="n">
        <v>10</v>
      </c>
      <c r="F36" s="13" t="s">
        <v>227</v>
      </c>
      <c r="G36" s="64" t="n">
        <v>4</v>
      </c>
      <c r="H36" s="64" t="n">
        <v>2.5</v>
      </c>
      <c r="I36" s="64" t="s">
        <v>258</v>
      </c>
      <c r="J36" s="64" t="n">
        <v>106</v>
      </c>
      <c r="K36" s="64" t="s">
        <v>259</v>
      </c>
      <c r="L36" s="64" t="s">
        <v>243</v>
      </c>
      <c r="M36" s="64" t="s">
        <v>230</v>
      </c>
      <c r="N36" s="64" t="s">
        <v>230</v>
      </c>
      <c r="O36" s="65" t="n">
        <v>5.2</v>
      </c>
      <c r="P36" s="65" t="n">
        <v>22.2</v>
      </c>
      <c r="Q36" s="65" t="n">
        <v>43.4</v>
      </c>
      <c r="R36" s="65" t="n">
        <v>85.8</v>
      </c>
      <c r="S36" s="54" t="s">
        <v>236</v>
      </c>
      <c r="T36" s="5"/>
    </row>
    <row r="38" customFormat="false" ht="15" hidden="false" customHeight="false" outlineLevel="0" collapsed="false">
      <c r="A38" s="7" t="s">
        <v>260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customFormat="false" ht="15" hidden="false" customHeight="false" outlineLevel="0" collapsed="false">
      <c r="A39" s="67" t="s">
        <v>261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</row>
    <row r="40" customFormat="false" ht="15" hidden="false" customHeight="false" outlineLevel="0" collapsed="false">
      <c r="A40" s="68" t="s">
        <v>262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</row>
    <row r="41" customFormat="false" ht="15" hidden="false" customHeight="false" outlineLevel="0" collapsed="false">
      <c r="A41" s="69" t="s">
        <v>263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</row>
    <row r="42" customFormat="false" ht="15" hidden="false" customHeight="false" outlineLevel="0" collapsed="false">
      <c r="A42" s="70" t="s">
        <v>264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  <row r="43" customFormat="false" ht="15" hidden="false" customHeight="false" outlineLevel="0" collapsed="false">
      <c r="A43" s="71" t="s">
        <v>265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</row>
  </sheetData>
  <mergeCells count="8">
    <mergeCell ref="A1:N1"/>
    <mergeCell ref="A3:N3"/>
    <mergeCell ref="A38:T38"/>
    <mergeCell ref="A39:T39"/>
    <mergeCell ref="A40:T40"/>
    <mergeCell ref="A41:T41"/>
    <mergeCell ref="A42:T42"/>
    <mergeCell ref="A43:T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49" activePane="bottomRight" state="frozen"/>
      <selection pane="topLeft" activeCell="A1" activeCellId="0" sqref="A1"/>
      <selection pane="topRight" activeCell="B1" activeCellId="0" sqref="B1"/>
      <selection pane="bottomLeft" activeCell="A49" activeCellId="0" sqref="A49"/>
      <selection pane="bottomRight" activeCell="B34" activeCellId="0" sqref="B3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62"/>
    <col collapsed="false" customWidth="true" hidden="false" outlineLevel="0" max="10" min="6" style="0" width="14"/>
    <col collapsed="false" customWidth="true" hidden="false" outlineLevel="0" max="11" min="11" style="0" width="42"/>
  </cols>
  <sheetData>
    <row r="1" customFormat="false" ht="27.75" hidden="false" customHeight="true" outlineLevel="0" collapsed="false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2" t="s">
        <v>267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4" customFormat="false" ht="15" hidden="false" customHeight="false" outlineLevel="0" collapsed="false">
      <c r="A4" s="7" t="s">
        <v>268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customFormat="false" ht="15" hidden="false" customHeight="false" outlineLevel="0" collapsed="false">
      <c r="A5" s="20" t="s">
        <v>269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customFormat="false" ht="15" hidden="false" customHeight="false" outlineLevel="0" collapsed="false">
      <c r="B6" s="73" t="s">
        <v>270</v>
      </c>
      <c r="C6" s="73"/>
      <c r="D6" s="73"/>
      <c r="E6" s="73"/>
    </row>
    <row r="7" customFormat="false" ht="23.85" hidden="false" customHeight="false" outlineLevel="0" collapsed="false">
      <c r="B7" s="74" t="s">
        <v>271</v>
      </c>
      <c r="C7" s="75" t="n">
        <v>0.25</v>
      </c>
      <c r="D7" s="76" t="s">
        <v>272</v>
      </c>
      <c r="E7" s="77" t="s">
        <v>273</v>
      </c>
    </row>
    <row r="8" customFormat="false" ht="15" hidden="false" customHeight="false" outlineLevel="0" collapsed="false">
      <c r="B8" s="74" t="s">
        <v>274</v>
      </c>
      <c r="C8" s="75" t="n">
        <v>0.1</v>
      </c>
      <c r="D8" s="76" t="s">
        <v>272</v>
      </c>
      <c r="E8" s="77" t="s">
        <v>275</v>
      </c>
    </row>
    <row r="9" customFormat="false" ht="15" hidden="false" customHeight="false" outlineLevel="0" collapsed="false">
      <c r="B9" s="74" t="s">
        <v>276</v>
      </c>
      <c r="C9" s="75" t="n">
        <v>0.15</v>
      </c>
      <c r="D9" s="76" t="s">
        <v>272</v>
      </c>
      <c r="E9" s="77" t="s">
        <v>277</v>
      </c>
    </row>
    <row r="10" customFormat="false" ht="15" hidden="false" customHeight="false" outlineLevel="0" collapsed="false">
      <c r="B10" s="4" t="s">
        <v>278</v>
      </c>
      <c r="C10" s="78" t="n">
        <f aca="false">1-$C$7-$C$8-$C$9</f>
        <v>0.5</v>
      </c>
      <c r="D10" s="79" t="s">
        <v>272</v>
      </c>
      <c r="E10" s="76" t="s">
        <v>279</v>
      </c>
    </row>
    <row r="12" customFormat="false" ht="15" hidden="false" customHeight="false" outlineLevel="0" collapsed="false">
      <c r="A12" s="20" t="s">
        <v>280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customFormat="false" ht="35.05" hidden="false" customHeight="false" outlineLevel="0" collapsed="false">
      <c r="B13" s="74" t="s">
        <v>281</v>
      </c>
      <c r="C13" s="75" t="n">
        <v>0.6</v>
      </c>
      <c r="D13" s="76" t="s">
        <v>272</v>
      </c>
      <c r="E13" s="77" t="s">
        <v>282</v>
      </c>
    </row>
    <row r="14" customFormat="false" ht="23.85" hidden="false" customHeight="false" outlineLevel="0" collapsed="false">
      <c r="B14" s="74" t="s">
        <v>283</v>
      </c>
      <c r="C14" s="80" t="n">
        <v>2</v>
      </c>
      <c r="D14" s="76" t="s">
        <v>284</v>
      </c>
      <c r="E14" s="77" t="s">
        <v>285</v>
      </c>
    </row>
    <row r="16" customFormat="false" ht="15" hidden="false" customHeight="false" outlineLevel="0" collapsed="false">
      <c r="A16" s="20" t="s">
        <v>286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customFormat="false" ht="23.85" hidden="false" customHeight="false" outlineLevel="0" collapsed="false">
      <c r="B17" s="74" t="s">
        <v>287</v>
      </c>
      <c r="C17" s="81" t="n">
        <v>0.98</v>
      </c>
      <c r="D17" s="76" t="s">
        <v>272</v>
      </c>
      <c r="E17" s="77" t="s">
        <v>288</v>
      </c>
    </row>
    <row r="18" customFormat="false" ht="23.85" hidden="false" customHeight="false" outlineLevel="0" collapsed="false">
      <c r="B18" s="74" t="s">
        <v>289</v>
      </c>
      <c r="C18" s="81" t="n">
        <v>0.98</v>
      </c>
      <c r="D18" s="76" t="s">
        <v>272</v>
      </c>
      <c r="E18" s="77" t="s">
        <v>290</v>
      </c>
    </row>
    <row r="19" customFormat="false" ht="35.05" hidden="false" customHeight="false" outlineLevel="0" collapsed="false">
      <c r="B19" s="74" t="s">
        <v>291</v>
      </c>
      <c r="C19" s="80" t="n">
        <v>6</v>
      </c>
      <c r="D19" s="76" t="s">
        <v>284</v>
      </c>
      <c r="E19" s="77" t="s">
        <v>292</v>
      </c>
    </row>
    <row r="21" customFormat="false" ht="15" hidden="false" customHeight="false" outlineLevel="0" collapsed="false">
      <c r="A21" s="20" t="s">
        <v>293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customFormat="false" ht="15" hidden="false" customHeight="true" outlineLevel="0" collapsed="false">
      <c r="B22" s="82" t="s">
        <v>294</v>
      </c>
      <c r="C22" s="82"/>
      <c r="D22" s="82"/>
      <c r="E22" s="82"/>
    </row>
    <row r="23" customFormat="false" ht="35.05" hidden="false" customHeight="false" outlineLevel="0" collapsed="false">
      <c r="B23" s="74" t="s">
        <v>295</v>
      </c>
      <c r="C23" s="75" t="n">
        <v>0.25</v>
      </c>
      <c r="D23" s="76" t="s">
        <v>272</v>
      </c>
      <c r="E23" s="77" t="s">
        <v>296</v>
      </c>
    </row>
    <row r="24" customFormat="false" ht="15" hidden="false" customHeight="false" outlineLevel="0" collapsed="false">
      <c r="B24" s="74" t="s">
        <v>297</v>
      </c>
      <c r="C24" s="75" t="n">
        <v>0.08</v>
      </c>
      <c r="D24" s="76" t="s">
        <v>272</v>
      </c>
      <c r="E24" s="77" t="s">
        <v>298</v>
      </c>
    </row>
    <row r="25" customFormat="false" ht="15" hidden="false" customHeight="false" outlineLevel="0" collapsed="false">
      <c r="B25" s="74" t="s">
        <v>299</v>
      </c>
      <c r="C25" s="75" t="n">
        <v>0.04</v>
      </c>
      <c r="D25" s="76" t="s">
        <v>272</v>
      </c>
      <c r="E25" s="77" t="s">
        <v>300</v>
      </c>
    </row>
    <row r="27" customFormat="false" ht="15" hidden="false" customHeight="false" outlineLevel="0" collapsed="false">
      <c r="A27" s="20" t="s">
        <v>301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customFormat="false" ht="23.85" hidden="false" customHeight="true" outlineLevel="0" collapsed="false">
      <c r="B28" s="82" t="s">
        <v>302</v>
      </c>
      <c r="C28" s="82"/>
      <c r="D28" s="82"/>
      <c r="E28" s="82"/>
    </row>
    <row r="29" customFormat="false" ht="35.05" hidden="false" customHeight="false" outlineLevel="0" collapsed="false">
      <c r="B29" s="74" t="s">
        <v>303</v>
      </c>
      <c r="C29" s="75" t="n">
        <v>0.05</v>
      </c>
      <c r="D29" s="76" t="s">
        <v>272</v>
      </c>
      <c r="E29" s="77" t="s">
        <v>304</v>
      </c>
    </row>
    <row r="31" customFormat="false" ht="15" hidden="false" customHeight="false" outlineLevel="0" collapsed="false">
      <c r="A31" s="7" t="s">
        <v>305</v>
      </c>
      <c r="B31" s="7"/>
      <c r="C31" s="7"/>
      <c r="D31" s="7"/>
      <c r="E31" s="7"/>
      <c r="F31" s="7"/>
      <c r="G31" s="7"/>
      <c r="H31" s="7"/>
      <c r="I31" s="7"/>
      <c r="J31" s="7"/>
      <c r="K31" s="7"/>
    </row>
    <row r="32" customFormat="false" ht="15" hidden="false" customHeight="false" outlineLevel="0" collapsed="false">
      <c r="B32" s="83" t="s">
        <v>306</v>
      </c>
      <c r="C32" s="84" t="s">
        <v>307</v>
      </c>
      <c r="D32" s="83" t="s">
        <v>308</v>
      </c>
      <c r="E32" s="20" t="s">
        <v>309</v>
      </c>
      <c r="F32" s="20"/>
      <c r="G32" s="20"/>
      <c r="H32" s="20"/>
      <c r="I32" s="20"/>
      <c r="J32" s="20"/>
      <c r="K32" s="20"/>
    </row>
    <row r="33" customFormat="false" ht="35.05" hidden="false" customHeight="false" outlineLevel="0" collapsed="false">
      <c r="B33" s="4" t="s">
        <v>310</v>
      </c>
      <c r="C33" s="85" t="n">
        <f aca="false">$C$23*3 + $C$24*2 + $C$25*1</f>
        <v>0.95</v>
      </c>
      <c r="D33" s="76" t="s">
        <v>311</v>
      </c>
      <c r="E33" s="77" t="s">
        <v>312</v>
      </c>
    </row>
    <row r="34" customFormat="false" ht="35.05" hidden="false" customHeight="false" outlineLevel="0" collapsed="false">
      <c r="B34" s="4" t="s">
        <v>313</v>
      </c>
      <c r="C34" s="85" t="n">
        <f aca="false">$C$29*1</f>
        <v>0.05</v>
      </c>
      <c r="D34" s="76" t="s">
        <v>311</v>
      </c>
      <c r="E34" s="77" t="s">
        <v>314</v>
      </c>
    </row>
    <row r="35" customFormat="false" ht="35.05" hidden="false" customHeight="false" outlineLevel="0" collapsed="false">
      <c r="B35" s="4" t="s">
        <v>315</v>
      </c>
      <c r="C35" s="85" t="n">
        <f aca="false">$C$9*$C$13*$C$14</f>
        <v>0.18</v>
      </c>
      <c r="D35" s="76" t="s">
        <v>311</v>
      </c>
      <c r="E35" s="77" t="s">
        <v>316</v>
      </c>
    </row>
    <row r="36" customFormat="false" ht="23.85" hidden="false" customHeight="false" outlineLevel="0" collapsed="false">
      <c r="B36" s="4" t="s">
        <v>317</v>
      </c>
      <c r="C36" s="85" t="n">
        <f aca="false">(1-$C$17)*$C$19</f>
        <v>0.12</v>
      </c>
      <c r="D36" s="76" t="s">
        <v>311</v>
      </c>
      <c r="E36" s="77" t="s">
        <v>318</v>
      </c>
    </row>
    <row r="37" customFormat="false" ht="23.85" hidden="false" customHeight="false" outlineLevel="0" collapsed="false">
      <c r="B37" s="4" t="s">
        <v>319</v>
      </c>
      <c r="C37" s="85" t="n">
        <f aca="false">$C$7*(1-$C$18)*$C$19</f>
        <v>0.03</v>
      </c>
      <c r="D37" s="76" t="s">
        <v>311</v>
      </c>
      <c r="E37" s="77" t="s">
        <v>320</v>
      </c>
    </row>
    <row r="39" customFormat="false" ht="15" hidden="false" customHeight="false" outlineLevel="0" collapsed="false">
      <c r="A39" s="7" t="s">
        <v>321</v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 customFormat="false" ht="23.85" hidden="false" customHeight="false" outlineLevel="0" collapsed="false">
      <c r="B40" s="57" t="s">
        <v>322</v>
      </c>
      <c r="C40" s="57" t="s">
        <v>323</v>
      </c>
      <c r="D40" s="57" t="s">
        <v>324</v>
      </c>
      <c r="E40" s="57" t="s">
        <v>325</v>
      </c>
      <c r="F40" s="57" t="s">
        <v>326</v>
      </c>
      <c r="G40" s="57" t="s">
        <v>327</v>
      </c>
      <c r="H40" s="57" t="s">
        <v>328</v>
      </c>
      <c r="I40" s="57" t="s">
        <v>329</v>
      </c>
      <c r="J40" s="57" t="s">
        <v>330</v>
      </c>
      <c r="K40" s="57" t="s">
        <v>331</v>
      </c>
    </row>
    <row r="41" customFormat="false" ht="57.45" hidden="false" customHeight="false" outlineLevel="0" collapsed="false">
      <c r="B41" s="86" t="s">
        <v>332</v>
      </c>
      <c r="C41" s="87" t="s">
        <v>333</v>
      </c>
      <c r="D41" s="88" t="n">
        <f aca="false">3+$C$7</f>
        <v>3.25</v>
      </c>
      <c r="E41" s="88" t="n">
        <f aca="false">0</f>
        <v>0</v>
      </c>
      <c r="F41" s="88" t="n">
        <f aca="false">0</f>
        <v>0</v>
      </c>
      <c r="G41" s="89" t="n">
        <f aca="false">D41+E41+F41</f>
        <v>3.25</v>
      </c>
      <c r="H41" s="90" t="n">
        <f aca="false">1/G41</f>
        <v>0.307692307692308</v>
      </c>
      <c r="I41" s="91" t="n">
        <f aca="false">$G$41/G41</f>
        <v>1</v>
      </c>
      <c r="J41" s="91" t="n">
        <f aca="false">$G$44/G41</f>
        <v>0.655384615384615</v>
      </c>
      <c r="K41" s="87" t="s">
        <v>334</v>
      </c>
    </row>
    <row r="42" customFormat="false" ht="57.45" hidden="false" customHeight="false" outlineLevel="0" collapsed="false">
      <c r="B42" s="86" t="s">
        <v>335</v>
      </c>
      <c r="C42" s="92" t="s">
        <v>336</v>
      </c>
      <c r="D42" s="93" t="n">
        <f aca="false">3+$C$7</f>
        <v>3.25</v>
      </c>
      <c r="E42" s="93" t="n">
        <f aca="false">0</f>
        <v>0</v>
      </c>
      <c r="F42" s="93" t="n">
        <f aca="false">$C$36+$C$37</f>
        <v>0.15</v>
      </c>
      <c r="G42" s="94" t="n">
        <f aca="false">D42+E42+F42</f>
        <v>3.4</v>
      </c>
      <c r="H42" s="95" t="n">
        <f aca="false">1/G42</f>
        <v>0.294117647058824</v>
      </c>
      <c r="I42" s="96" t="n">
        <f aca="false">$G$41/G42</f>
        <v>0.955882352941176</v>
      </c>
      <c r="J42" s="96" t="n">
        <f aca="false">$G$44/G42</f>
        <v>0.626470588235294</v>
      </c>
      <c r="K42" s="92" t="s">
        <v>337</v>
      </c>
    </row>
    <row r="43" customFormat="false" ht="57.45" hidden="false" customHeight="false" outlineLevel="0" collapsed="false">
      <c r="B43" s="86" t="s">
        <v>338</v>
      </c>
      <c r="C43" s="97" t="s">
        <v>339</v>
      </c>
      <c r="D43" s="98" t="n">
        <f aca="false">1</f>
        <v>1</v>
      </c>
      <c r="E43" s="98" t="n">
        <f aca="false">$C$33+$C$35</f>
        <v>1.13</v>
      </c>
      <c r="F43" s="98" t="n">
        <f aca="false">$C$36+$C$37</f>
        <v>0.15</v>
      </c>
      <c r="G43" s="99" t="n">
        <f aca="false">D43+E43+F43</f>
        <v>2.28</v>
      </c>
      <c r="H43" s="100" t="n">
        <f aca="false">1/G43</f>
        <v>0.43859649122807</v>
      </c>
      <c r="I43" s="101" t="n">
        <f aca="false">$G$41/G43</f>
        <v>1.42543859649123</v>
      </c>
      <c r="J43" s="101" t="n">
        <f aca="false">$G$44/G43</f>
        <v>0.934210526315789</v>
      </c>
      <c r="K43" s="97" t="s">
        <v>340</v>
      </c>
    </row>
    <row r="44" customFormat="false" ht="68.65" hidden="false" customHeight="false" outlineLevel="0" collapsed="false">
      <c r="B44" s="86" t="s">
        <v>341</v>
      </c>
      <c r="C44" s="102" t="s">
        <v>342</v>
      </c>
      <c r="D44" s="103" t="n">
        <f aca="false">1</f>
        <v>1</v>
      </c>
      <c r="E44" s="103" t="n">
        <f aca="false">$C$33+$C$35</f>
        <v>1.13</v>
      </c>
      <c r="F44" s="103" t="n">
        <f aca="false">0</f>
        <v>0</v>
      </c>
      <c r="G44" s="104" t="n">
        <f aca="false">D44+E44+F44</f>
        <v>2.13</v>
      </c>
      <c r="H44" s="105" t="n">
        <f aca="false">1/G44</f>
        <v>0.469483568075117</v>
      </c>
      <c r="I44" s="106" t="n">
        <f aca="false">$G$41/G44</f>
        <v>1.52582159624413</v>
      </c>
      <c r="J44" s="106" t="n">
        <f aca="false">$G$44/G44</f>
        <v>1</v>
      </c>
      <c r="K44" s="102" t="s">
        <v>343</v>
      </c>
    </row>
    <row r="45" customFormat="false" ht="79.85" hidden="false" customHeight="false" outlineLevel="0" collapsed="false">
      <c r="B45" s="86" t="s">
        <v>344</v>
      </c>
      <c r="C45" s="107" t="s">
        <v>345</v>
      </c>
      <c r="D45" s="108" t="n">
        <f aca="false">1</f>
        <v>1</v>
      </c>
      <c r="E45" s="108" t="n">
        <f aca="false">$C$34+$C$35</f>
        <v>0.23</v>
      </c>
      <c r="F45" s="108" t="n">
        <f aca="false">$C$36+$C$37</f>
        <v>0.15</v>
      </c>
      <c r="G45" s="109" t="n">
        <f aca="false">D45+E45+F45</f>
        <v>1.38</v>
      </c>
      <c r="H45" s="110" t="n">
        <f aca="false">1/G45</f>
        <v>0.72463768115942</v>
      </c>
      <c r="I45" s="111" t="n">
        <f aca="false">$G$41/G45</f>
        <v>2.35507246376812</v>
      </c>
      <c r="J45" s="111" t="n">
        <f aca="false">$G$44/G45</f>
        <v>1.54347826086957</v>
      </c>
      <c r="K45" s="107" t="s">
        <v>346</v>
      </c>
    </row>
    <row r="47" customFormat="false" ht="15" hidden="false" customHeight="false" outlineLevel="0" collapsed="false">
      <c r="A47" s="7" t="s">
        <v>260</v>
      </c>
      <c r="B47" s="7"/>
      <c r="C47" s="7"/>
      <c r="D47" s="7"/>
      <c r="E47" s="7"/>
      <c r="F47" s="7"/>
      <c r="G47" s="7"/>
      <c r="H47" s="7"/>
      <c r="I47" s="7"/>
      <c r="J47" s="7"/>
      <c r="K47" s="7"/>
    </row>
    <row r="48" customFormat="false" ht="15" hidden="false" customHeight="false" outlineLevel="0" collapsed="false">
      <c r="A48" s="112" t="s">
        <v>347</v>
      </c>
      <c r="B48" s="112"/>
      <c r="C48" s="112"/>
      <c r="D48" s="112"/>
      <c r="E48" s="112"/>
      <c r="F48" s="112"/>
      <c r="G48" s="112"/>
      <c r="H48" s="112"/>
      <c r="I48" s="112"/>
      <c r="J48" s="112"/>
      <c r="K48" s="112"/>
    </row>
    <row r="49" customFormat="false" ht="15" hidden="false" customHeight="false" outlineLevel="0" collapsed="false">
      <c r="A49" s="113" t="s">
        <v>348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</row>
    <row r="50" customFormat="false" ht="15" hidden="false" customHeight="false" outlineLevel="0" collapsed="false">
      <c r="A50" s="114" t="s">
        <v>349</v>
      </c>
      <c r="B50" s="114"/>
      <c r="C50" s="114"/>
      <c r="D50" s="114"/>
      <c r="E50" s="114"/>
      <c r="F50" s="114"/>
      <c r="G50" s="114"/>
      <c r="H50" s="114"/>
      <c r="I50" s="114"/>
      <c r="J50" s="114"/>
      <c r="K50" s="114"/>
    </row>
    <row r="51" customFormat="false" ht="15" hidden="false" customHeight="false" outlineLevel="0" collapsed="false">
      <c r="A51" s="115" t="s">
        <v>350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</row>
    <row r="52" customFormat="false" ht="15" hidden="false" customHeight="false" outlineLevel="0" collapsed="false">
      <c r="A52" s="116" t="s">
        <v>351</v>
      </c>
      <c r="B52" s="116"/>
      <c r="C52" s="116"/>
      <c r="D52" s="116"/>
      <c r="E52" s="116"/>
      <c r="F52" s="116"/>
      <c r="G52" s="116"/>
      <c r="H52" s="116"/>
      <c r="I52" s="116"/>
      <c r="J52" s="116"/>
      <c r="K52" s="116"/>
    </row>
    <row r="53" customFormat="false" ht="15" hidden="false" customHeight="false" outlineLevel="0" collapsed="false">
      <c r="A53" s="115" t="s">
        <v>352</v>
      </c>
      <c r="B53" s="115"/>
      <c r="C53" s="115"/>
      <c r="D53" s="115"/>
      <c r="E53" s="115"/>
      <c r="F53" s="115"/>
      <c r="G53" s="115"/>
      <c r="H53" s="115"/>
      <c r="I53" s="115"/>
      <c r="J53" s="115"/>
      <c r="K53" s="115"/>
    </row>
    <row r="54" customFormat="false" ht="15" hidden="false" customHeight="false" outlineLevel="0" collapsed="false">
      <c r="A54" s="117" t="s">
        <v>353</v>
      </c>
      <c r="B54" s="117"/>
      <c r="C54" s="117"/>
      <c r="D54" s="117"/>
      <c r="E54" s="117"/>
      <c r="F54" s="117"/>
      <c r="G54" s="117"/>
      <c r="H54" s="117"/>
      <c r="I54" s="117"/>
      <c r="J54" s="117"/>
      <c r="K54" s="117"/>
    </row>
    <row r="56" customFormat="false" ht="15" hidden="false" customHeight="false" outlineLevel="0" collapsed="false">
      <c r="A56" s="7" t="s">
        <v>354</v>
      </c>
      <c r="B56" s="7"/>
      <c r="C56" s="7"/>
      <c r="D56" s="7"/>
      <c r="E56" s="7"/>
      <c r="F56" s="7"/>
      <c r="G56" s="7"/>
      <c r="H56" s="7"/>
      <c r="I56" s="7"/>
      <c r="J56" s="7"/>
      <c r="K56" s="7"/>
    </row>
    <row r="57" customFormat="false" ht="15" hidden="false" customHeight="true" outlineLevel="0" collapsed="false">
      <c r="B57" s="20" t="s">
        <v>355</v>
      </c>
      <c r="C57" s="20"/>
      <c r="D57" s="9" t="s">
        <v>356</v>
      </c>
      <c r="E57" s="9"/>
      <c r="F57" s="9"/>
      <c r="G57" s="9"/>
      <c r="H57" s="9"/>
      <c r="I57" s="9"/>
      <c r="J57" s="9"/>
      <c r="K57" s="9"/>
    </row>
    <row r="58" customFormat="false" ht="23.85" hidden="false" customHeight="true" outlineLevel="0" collapsed="false">
      <c r="B58" s="20" t="s">
        <v>357</v>
      </c>
      <c r="C58" s="20"/>
      <c r="D58" s="10" t="s">
        <v>358</v>
      </c>
      <c r="E58" s="10"/>
      <c r="F58" s="10"/>
      <c r="G58" s="10"/>
      <c r="H58" s="10"/>
      <c r="I58" s="10"/>
      <c r="J58" s="10"/>
      <c r="K58" s="10"/>
    </row>
    <row r="59" customFormat="false" ht="15" hidden="false" customHeight="true" outlineLevel="0" collapsed="false">
      <c r="B59" s="20" t="s">
        <v>359</v>
      </c>
      <c r="C59" s="20"/>
      <c r="D59" s="9" t="s">
        <v>360</v>
      </c>
      <c r="E59" s="9"/>
      <c r="F59" s="9"/>
      <c r="G59" s="9"/>
      <c r="H59" s="9"/>
      <c r="I59" s="9"/>
      <c r="J59" s="9"/>
      <c r="K59" s="9"/>
    </row>
    <row r="60" customFormat="false" ht="15" hidden="false" customHeight="true" outlineLevel="0" collapsed="false">
      <c r="B60" s="20" t="s">
        <v>361</v>
      </c>
      <c r="C60" s="20"/>
      <c r="D60" s="10" t="s">
        <v>362</v>
      </c>
      <c r="E60" s="10"/>
      <c r="F60" s="10"/>
      <c r="G60" s="10"/>
      <c r="H60" s="10"/>
      <c r="I60" s="10"/>
      <c r="J60" s="10"/>
      <c r="K60" s="10"/>
    </row>
    <row r="61" customFormat="false" ht="15" hidden="false" customHeight="true" outlineLevel="0" collapsed="false">
      <c r="B61" s="20" t="s">
        <v>363</v>
      </c>
      <c r="C61" s="20"/>
      <c r="D61" s="9" t="s">
        <v>364</v>
      </c>
      <c r="E61" s="9"/>
      <c r="F61" s="9"/>
      <c r="G61" s="9"/>
      <c r="H61" s="9"/>
      <c r="I61" s="9"/>
      <c r="J61" s="9"/>
      <c r="K61" s="9"/>
    </row>
    <row r="62" customFormat="false" ht="23.85" hidden="false" customHeight="true" outlineLevel="0" collapsed="false">
      <c r="B62" s="20" t="s">
        <v>365</v>
      </c>
      <c r="C62" s="20"/>
      <c r="D62" s="10" t="s">
        <v>366</v>
      </c>
      <c r="E62" s="10"/>
      <c r="F62" s="10"/>
      <c r="G62" s="10"/>
      <c r="H62" s="10"/>
      <c r="I62" s="10"/>
      <c r="J62" s="10"/>
      <c r="K62" s="10"/>
    </row>
    <row r="63" customFormat="false" ht="23.85" hidden="false" customHeight="true" outlineLevel="0" collapsed="false">
      <c r="B63" s="20" t="s">
        <v>367</v>
      </c>
      <c r="C63" s="20"/>
      <c r="D63" s="9" t="s">
        <v>368</v>
      </c>
      <c r="E63" s="9"/>
      <c r="F63" s="9"/>
      <c r="G63" s="9"/>
      <c r="H63" s="9"/>
      <c r="I63" s="9"/>
      <c r="J63" s="9"/>
      <c r="K63" s="9"/>
    </row>
  </sheetData>
  <mergeCells count="37">
    <mergeCell ref="A1:K1"/>
    <mergeCell ref="A2:K2"/>
    <mergeCell ref="A4:K4"/>
    <mergeCell ref="A5:K5"/>
    <mergeCell ref="B6:E6"/>
    <mergeCell ref="A12:K12"/>
    <mergeCell ref="A16:K16"/>
    <mergeCell ref="A21:K21"/>
    <mergeCell ref="B22:E22"/>
    <mergeCell ref="A27:K27"/>
    <mergeCell ref="B28:E28"/>
    <mergeCell ref="A31:K31"/>
    <mergeCell ref="E32:K32"/>
    <mergeCell ref="A39:K39"/>
    <mergeCell ref="A47:K47"/>
    <mergeCell ref="A48:K48"/>
    <mergeCell ref="A49:K49"/>
    <mergeCell ref="A50:K50"/>
    <mergeCell ref="A51:K51"/>
    <mergeCell ref="A52:K52"/>
    <mergeCell ref="A53:K53"/>
    <mergeCell ref="A54:K54"/>
    <mergeCell ref="A56:K56"/>
    <mergeCell ref="B57:C57"/>
    <mergeCell ref="D57:K57"/>
    <mergeCell ref="B58:C58"/>
    <mergeCell ref="D58:K58"/>
    <mergeCell ref="B59:C59"/>
    <mergeCell ref="D59:K59"/>
    <mergeCell ref="B60:C60"/>
    <mergeCell ref="D60:K60"/>
    <mergeCell ref="B61:C61"/>
    <mergeCell ref="D61:K61"/>
    <mergeCell ref="B62:C62"/>
    <mergeCell ref="D62:K62"/>
    <mergeCell ref="B63:C63"/>
    <mergeCell ref="D63:K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2026-06-10T17:38:13Z</dcterms:created>
  <dc:creator>openpyxl</dc:creator>
  <dc:description/>
  <dc:language>de-DE</dc:language>
  <cp:lastModifiedBy/>
  <dcterms:modified xsi:type="dcterms:W3CDTF">2026-06-10T19:56:11Z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